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KÌ 5\SWP\hireflow-api\RetireManagement\SWP_RMS_Group-2\docs\members\linhdn\"/>
    </mc:Choice>
  </mc:AlternateContent>
  <xr:revisionPtr revIDLastSave="0" documentId="13_ncr:1_{EDBFDBA3-7340-468B-A972-48500F2FEC7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1" r:id="rId1"/>
    <sheet name="Bug Log" sheetId="2" r:id="rId2"/>
    <sheet name="Lich su" sheetId="3" r:id="rId3"/>
    <sheet name="DanhMuc" sheetId="4" r:id="rId4"/>
    <sheet name="Huong d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Q306" i="2"/>
  <c r="P306" i="2"/>
  <c r="Q305" i="2"/>
  <c r="P305" i="2"/>
  <c r="Q304" i="2"/>
  <c r="P304" i="2"/>
  <c r="Q303" i="2"/>
  <c r="P303" i="2"/>
  <c r="Q302" i="2"/>
  <c r="P302" i="2"/>
  <c r="Q301" i="2"/>
  <c r="P301" i="2"/>
  <c r="Q300" i="2"/>
  <c r="P300" i="2"/>
  <c r="Q299" i="2"/>
  <c r="P299" i="2"/>
  <c r="Q298" i="2"/>
  <c r="P298" i="2"/>
  <c r="Q297" i="2"/>
  <c r="P297" i="2"/>
  <c r="Q296" i="2"/>
  <c r="P296" i="2"/>
  <c r="Q295" i="2"/>
  <c r="P295" i="2"/>
  <c r="Q294" i="2"/>
  <c r="P294" i="2"/>
  <c r="Q293" i="2"/>
  <c r="P293" i="2"/>
  <c r="Q292" i="2"/>
  <c r="P292" i="2"/>
  <c r="Q291" i="2"/>
  <c r="P291" i="2"/>
  <c r="Q290" i="2"/>
  <c r="P290" i="2"/>
  <c r="Q289" i="2"/>
  <c r="P289" i="2"/>
  <c r="Q288" i="2"/>
  <c r="P288" i="2"/>
  <c r="Q287" i="2"/>
  <c r="P287" i="2"/>
  <c r="Q286" i="2"/>
  <c r="P286" i="2"/>
  <c r="Q285" i="2"/>
  <c r="P285" i="2"/>
  <c r="Q284" i="2"/>
  <c r="P284" i="2"/>
  <c r="Q283" i="2"/>
  <c r="P283" i="2"/>
  <c r="Q282" i="2"/>
  <c r="P282" i="2"/>
  <c r="Q281" i="2"/>
  <c r="P281" i="2"/>
  <c r="Q280" i="2"/>
  <c r="P280" i="2"/>
  <c r="Q279" i="2"/>
  <c r="P279" i="2"/>
  <c r="Q278" i="2"/>
  <c r="P278" i="2"/>
  <c r="Q277" i="2"/>
  <c r="P277" i="2"/>
  <c r="Q276" i="2"/>
  <c r="P276" i="2"/>
  <c r="Q275" i="2"/>
  <c r="P275" i="2"/>
  <c r="Q274" i="2"/>
  <c r="P274" i="2"/>
  <c r="Q273" i="2"/>
  <c r="P273" i="2"/>
  <c r="Q272" i="2"/>
  <c r="P272" i="2"/>
  <c r="Q271" i="2"/>
  <c r="P271" i="2"/>
  <c r="Q270" i="2"/>
  <c r="P270" i="2"/>
  <c r="Q269" i="2"/>
  <c r="P269" i="2"/>
  <c r="Q268" i="2"/>
  <c r="P268" i="2"/>
  <c r="Q267" i="2"/>
  <c r="P267" i="2"/>
  <c r="Q266" i="2"/>
  <c r="P266" i="2"/>
  <c r="Q265" i="2"/>
  <c r="P265" i="2"/>
  <c r="Q264" i="2"/>
  <c r="P264" i="2"/>
  <c r="Q263" i="2"/>
  <c r="P263" i="2"/>
  <c r="Q262" i="2"/>
  <c r="P262" i="2"/>
  <c r="Q261" i="2"/>
  <c r="P261" i="2"/>
  <c r="Q260" i="2"/>
  <c r="P260" i="2"/>
  <c r="Q259" i="2"/>
  <c r="P259" i="2"/>
  <c r="Q258" i="2"/>
  <c r="P258" i="2"/>
  <c r="Q257" i="2"/>
  <c r="P257" i="2"/>
  <c r="Q256" i="2"/>
  <c r="P256" i="2"/>
  <c r="Q255" i="2"/>
  <c r="P255" i="2"/>
  <c r="Q254" i="2"/>
  <c r="P254" i="2"/>
  <c r="Q253" i="2"/>
  <c r="P253" i="2"/>
  <c r="Q252" i="2"/>
  <c r="P252" i="2"/>
  <c r="Q251" i="2"/>
  <c r="P251" i="2"/>
  <c r="Q250" i="2"/>
  <c r="P250" i="2"/>
  <c r="Q249" i="2"/>
  <c r="P249" i="2"/>
  <c r="Q248" i="2"/>
  <c r="P248" i="2"/>
  <c r="Q247" i="2"/>
  <c r="P247" i="2"/>
  <c r="Q246" i="2"/>
  <c r="P246" i="2"/>
  <c r="Q245" i="2"/>
  <c r="P245" i="2"/>
  <c r="Q244" i="2"/>
  <c r="P244" i="2"/>
  <c r="Q243" i="2"/>
  <c r="P243" i="2"/>
  <c r="Q242" i="2"/>
  <c r="P242" i="2"/>
  <c r="Q241" i="2"/>
  <c r="P241" i="2"/>
  <c r="Q240" i="2"/>
  <c r="P240" i="2"/>
  <c r="Q239" i="2"/>
  <c r="P239" i="2"/>
  <c r="Q238" i="2"/>
  <c r="P238" i="2"/>
  <c r="Q237" i="2"/>
  <c r="P237" i="2"/>
  <c r="Q236" i="2"/>
  <c r="P236" i="2"/>
  <c r="Q235" i="2"/>
  <c r="P235" i="2"/>
  <c r="Q234" i="2"/>
  <c r="P234" i="2"/>
  <c r="Q233" i="2"/>
  <c r="P233" i="2"/>
  <c r="Q232" i="2"/>
  <c r="P232" i="2"/>
  <c r="Q231" i="2"/>
  <c r="P231" i="2"/>
  <c r="Q230" i="2"/>
  <c r="P230" i="2"/>
  <c r="Q229" i="2"/>
  <c r="P229" i="2"/>
  <c r="Q228" i="2"/>
  <c r="P228" i="2"/>
  <c r="Q227" i="2"/>
  <c r="P227" i="2"/>
  <c r="Q226" i="2"/>
  <c r="P226" i="2"/>
  <c r="Q225" i="2"/>
  <c r="P225" i="2"/>
  <c r="Q224" i="2"/>
  <c r="P224" i="2"/>
  <c r="Q223" i="2"/>
  <c r="P223" i="2"/>
  <c r="Q222" i="2"/>
  <c r="P222" i="2"/>
  <c r="Q221" i="2"/>
  <c r="P221" i="2"/>
  <c r="Q220" i="2"/>
  <c r="P220" i="2"/>
  <c r="Q219" i="2"/>
  <c r="P219" i="2"/>
  <c r="Q218" i="2"/>
  <c r="P218" i="2"/>
  <c r="Q217" i="2"/>
  <c r="P217" i="2"/>
  <c r="Q216" i="2"/>
  <c r="P216" i="2"/>
  <c r="Q215" i="2"/>
  <c r="P215" i="2"/>
  <c r="Q214" i="2"/>
  <c r="P214" i="2"/>
  <c r="Q213" i="2"/>
  <c r="P213" i="2"/>
  <c r="Q212" i="2"/>
  <c r="P212" i="2"/>
  <c r="Q211" i="2"/>
  <c r="P211" i="2"/>
  <c r="Q210" i="2"/>
  <c r="P210" i="2"/>
  <c r="Q209" i="2"/>
  <c r="P209" i="2"/>
  <c r="Q208" i="2"/>
  <c r="P208" i="2"/>
  <c r="Q207" i="2"/>
  <c r="P207" i="2"/>
  <c r="Q206" i="2"/>
  <c r="P206" i="2"/>
  <c r="Q205" i="2"/>
  <c r="P205" i="2"/>
  <c r="Q204" i="2"/>
  <c r="P204" i="2"/>
  <c r="Q203" i="2"/>
  <c r="P203" i="2"/>
  <c r="Q202" i="2"/>
  <c r="P202" i="2"/>
  <c r="Q201" i="2"/>
  <c r="P201" i="2"/>
  <c r="Q200" i="2"/>
  <c r="P200" i="2"/>
  <c r="Q199" i="2"/>
  <c r="P199" i="2"/>
  <c r="Q198" i="2"/>
  <c r="P198" i="2"/>
  <c r="Q197" i="2"/>
  <c r="P197" i="2"/>
  <c r="Q196" i="2"/>
  <c r="P196" i="2"/>
  <c r="Q195" i="2"/>
  <c r="P195" i="2"/>
  <c r="Q194" i="2"/>
  <c r="P194" i="2"/>
  <c r="Q193" i="2"/>
  <c r="P193" i="2"/>
  <c r="Q192" i="2"/>
  <c r="P192" i="2"/>
  <c r="Q191" i="2"/>
  <c r="P191" i="2"/>
  <c r="Q190" i="2"/>
  <c r="P190" i="2"/>
  <c r="Q189" i="2"/>
  <c r="P189" i="2"/>
  <c r="Q188" i="2"/>
  <c r="P188" i="2"/>
  <c r="Q187" i="2"/>
  <c r="P187" i="2"/>
  <c r="Q186" i="2"/>
  <c r="P186" i="2"/>
  <c r="Q185" i="2"/>
  <c r="P185" i="2"/>
  <c r="Q184" i="2"/>
  <c r="P184" i="2"/>
  <c r="Q183" i="2"/>
  <c r="P183" i="2"/>
  <c r="Q182" i="2"/>
  <c r="P182" i="2"/>
  <c r="Q181" i="2"/>
  <c r="P181" i="2"/>
  <c r="Q180" i="2"/>
  <c r="P180" i="2"/>
  <c r="Q179" i="2"/>
  <c r="P179" i="2"/>
  <c r="Q178" i="2"/>
  <c r="P178" i="2"/>
  <c r="Q177" i="2"/>
  <c r="P177" i="2"/>
  <c r="Q176" i="2"/>
  <c r="P176" i="2"/>
  <c r="Q175" i="2"/>
  <c r="P175" i="2"/>
  <c r="Q174" i="2"/>
  <c r="P174" i="2"/>
  <c r="Q173" i="2"/>
  <c r="P173" i="2"/>
  <c r="Q172" i="2"/>
  <c r="P172" i="2"/>
  <c r="Q171" i="2"/>
  <c r="P171" i="2"/>
  <c r="Q170" i="2"/>
  <c r="P170" i="2"/>
  <c r="Q169" i="2"/>
  <c r="P169" i="2"/>
  <c r="Q168" i="2"/>
  <c r="P168" i="2"/>
  <c r="Q167" i="2"/>
  <c r="P167" i="2"/>
  <c r="Q166" i="2"/>
  <c r="P166" i="2"/>
  <c r="Q165" i="2"/>
  <c r="P165" i="2"/>
  <c r="Q164" i="2"/>
  <c r="P164" i="2"/>
  <c r="Q163" i="2"/>
  <c r="P163" i="2"/>
  <c r="Q162" i="2"/>
  <c r="P162" i="2"/>
  <c r="Q161" i="2"/>
  <c r="P161" i="2"/>
  <c r="Q160" i="2"/>
  <c r="P160" i="2"/>
  <c r="Q159" i="2"/>
  <c r="P159" i="2"/>
  <c r="Q158" i="2"/>
  <c r="P158" i="2"/>
  <c r="Q157" i="2"/>
  <c r="P157" i="2"/>
  <c r="Q156" i="2"/>
  <c r="P156" i="2"/>
  <c r="Q155" i="2"/>
  <c r="P155" i="2"/>
  <c r="Q154" i="2"/>
  <c r="P154" i="2"/>
  <c r="Q153" i="2"/>
  <c r="P153" i="2"/>
  <c r="Q152" i="2"/>
  <c r="P152" i="2"/>
  <c r="Q151" i="2"/>
  <c r="P151" i="2"/>
  <c r="Q150" i="2"/>
  <c r="P150" i="2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Q140" i="2"/>
  <c r="P140" i="2"/>
  <c r="Q139" i="2"/>
  <c r="P139" i="2"/>
  <c r="Q138" i="2"/>
  <c r="P138" i="2"/>
  <c r="Q137" i="2"/>
  <c r="P137" i="2"/>
  <c r="Q136" i="2"/>
  <c r="P136" i="2"/>
  <c r="Q135" i="2"/>
  <c r="P135" i="2"/>
  <c r="Q134" i="2"/>
  <c r="P134" i="2"/>
  <c r="Q133" i="2"/>
  <c r="P133" i="2"/>
  <c r="Q132" i="2"/>
  <c r="P132" i="2"/>
  <c r="Q131" i="2"/>
  <c r="P131" i="2"/>
  <c r="Q130" i="2"/>
  <c r="P130" i="2"/>
  <c r="Q129" i="2"/>
  <c r="P129" i="2"/>
  <c r="Q128" i="2"/>
  <c r="P128" i="2"/>
  <c r="Q127" i="2"/>
  <c r="P127" i="2"/>
  <c r="Q126" i="2"/>
  <c r="P126" i="2"/>
  <c r="Q125" i="2"/>
  <c r="P125" i="2"/>
  <c r="Q124" i="2"/>
  <c r="P124" i="2"/>
  <c r="Q123" i="2"/>
  <c r="P123" i="2"/>
  <c r="Q122" i="2"/>
  <c r="P122" i="2"/>
  <c r="Q121" i="2"/>
  <c r="P121" i="2"/>
  <c r="Q120" i="2"/>
  <c r="P120" i="2"/>
  <c r="Q119" i="2"/>
  <c r="P119" i="2"/>
  <c r="Q118" i="2"/>
  <c r="P118" i="2"/>
  <c r="Q117" i="2"/>
  <c r="P117" i="2"/>
  <c r="Q116" i="2"/>
  <c r="P116" i="2"/>
  <c r="Q115" i="2"/>
  <c r="P115" i="2"/>
  <c r="Q114" i="2"/>
  <c r="P114" i="2"/>
  <c r="Q113" i="2"/>
  <c r="P113" i="2"/>
  <c r="Q112" i="2"/>
  <c r="P112" i="2"/>
  <c r="Q111" i="2"/>
  <c r="P111" i="2"/>
  <c r="Q110" i="2"/>
  <c r="P110" i="2"/>
  <c r="Q109" i="2"/>
  <c r="P109" i="2"/>
  <c r="Q108" i="2"/>
  <c r="P108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Q97" i="2"/>
  <c r="P97" i="2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G7" i="1" s="1"/>
  <c r="P7" i="2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26" i="1"/>
  <c r="B25" i="1"/>
  <c r="B24" i="1"/>
  <c r="B23" i="1"/>
  <c r="G22" i="1"/>
  <c r="B22" i="1"/>
  <c r="K21" i="1"/>
  <c r="G21" i="1"/>
  <c r="B21" i="1"/>
  <c r="K20" i="1"/>
  <c r="G20" i="1"/>
  <c r="B20" i="1"/>
  <c r="K19" i="1"/>
  <c r="G19" i="1"/>
  <c r="B19" i="1"/>
  <c r="K18" i="1"/>
  <c r="G18" i="1"/>
  <c r="B18" i="1"/>
  <c r="G12" i="1"/>
  <c r="D12" i="1"/>
  <c r="A12" i="1"/>
  <c r="J7" i="1"/>
  <c r="A7" i="1"/>
  <c r="J12" i="1" l="1"/>
  <c r="C64" i="1"/>
  <c r="C56" i="1"/>
  <c r="C49" i="1"/>
  <c r="C22" i="1"/>
  <c r="C20" i="1"/>
  <c r="L18" i="1"/>
  <c r="C63" i="1"/>
  <c r="C57" i="1"/>
  <c r="C53" i="1"/>
  <c r="C25" i="1"/>
  <c r="H21" i="1"/>
  <c r="L19" i="1"/>
  <c r="C62" i="1"/>
  <c r="C55" i="1"/>
  <c r="C52" i="1"/>
  <c r="C23" i="1"/>
  <c r="L20" i="1"/>
  <c r="C61" i="1"/>
  <c r="C58" i="1"/>
  <c r="C51" i="1"/>
  <c r="C24" i="1"/>
  <c r="C21" i="1"/>
  <c r="H19" i="1"/>
  <c r="H18" i="1"/>
  <c r="C59" i="1"/>
  <c r="C26" i="1"/>
  <c r="L21" i="1"/>
  <c r="C60" i="1"/>
  <c r="C54" i="1"/>
  <c r="C50" i="1"/>
  <c r="H22" i="1"/>
  <c r="H20" i="1"/>
  <c r="C19" i="1"/>
  <c r="C18" i="1"/>
</calcChain>
</file>

<file path=xl/sharedStrings.xml><?xml version="1.0" encoding="utf-8"?>
<sst xmlns="http://schemas.openxmlformats.org/spreadsheetml/2006/main" count="333" uniqueCount="204">
  <si>
    <t>BUG QUALITY DASHBOARD</t>
  </si>
  <si>
    <t>Tổng quan chất lượng code &amp; tiến độ xử lý issue  |  Lấy dữ liệu tự động từ sheet Bug Log</t>
  </si>
  <si>
    <t>CẬP NHẬT TỰ ĐỘNG KHI THÊM BUG  •  Không nhập liệu tại trang này  •  Trạng thái đang mở = mọi trạng thái trừ Closed / Duplicate / Won't Fix</t>
  </si>
  <si>
    <t>TỔNG BUG</t>
  </si>
  <si>
    <t>CHƯA ĐÓNG</t>
  </si>
  <si>
    <t>ĐANG QUÁ HẠN</t>
  </si>
  <si>
    <t>ĐÃ ĐÓNG</t>
  </si>
  <si>
    <t>BLOCKER + CRITICAL</t>
  </si>
  <si>
    <t>CHỜ RETEST</t>
  </si>
  <si>
    <t>TỶ LỆ ĐÓNG</t>
  </si>
  <si>
    <t>TUỔI BUG TB (NGÀY)</t>
  </si>
  <si>
    <t>TRẠNG THÁI</t>
  </si>
  <si>
    <t>MỨC ĐỘ ẢNH HƯỞNG</t>
  </si>
  <si>
    <t>ĐỘ ƯU TIÊN</t>
  </si>
  <si>
    <t>Status</t>
  </si>
  <si>
    <t>Số lượng</t>
  </si>
  <si>
    <t>Tỷ lệ</t>
  </si>
  <si>
    <t>Severity</t>
  </si>
  <si>
    <t>Priority</t>
  </si>
  <si>
    <t>New</t>
  </si>
  <si>
    <t>Blocker</t>
  </si>
  <si>
    <t>P0 - Khẩn cấp</t>
  </si>
  <si>
    <t>Triaged</t>
  </si>
  <si>
    <t>Critical</t>
  </si>
  <si>
    <t>P1 - Cao</t>
  </si>
  <si>
    <t>In Progress</t>
  </si>
  <si>
    <t>Major</t>
  </si>
  <si>
    <t>P2 - Trung bình</t>
  </si>
  <si>
    <t>Fixed</t>
  </si>
  <si>
    <t>Minor</t>
  </si>
  <si>
    <t>P3 - Thấp</t>
  </si>
  <si>
    <t>Retest</t>
  </si>
  <si>
    <t>Trivial</t>
  </si>
  <si>
    <t>Reopened</t>
  </si>
  <si>
    <t>Closed</t>
  </si>
  <si>
    <t>Won't Fix</t>
  </si>
  <si>
    <t>Duplicate</t>
  </si>
  <si>
    <t>PHÂN BỐ BUG THEO TRẠNG THÁI</t>
  </si>
  <si>
    <t>BUG THEO SEVERITY</t>
  </si>
  <si>
    <t>BUG THEO MODULE</t>
  </si>
  <si>
    <t>QUY TẮC VẬN HÀNH &amp; GHI CHÚ</t>
  </si>
  <si>
    <t>Module</t>
  </si>
  <si>
    <t>Số bug</t>
  </si>
  <si>
    <t>Auth / Login</t>
  </si>
  <si>
    <t>01  Ghi nhận lỗi ở sheet Bug Log, nhập Bug ID duy nhất.</t>
  </si>
  <si>
    <t>Registration</t>
  </si>
  <si>
    <t>Account Management</t>
  </si>
  <si>
    <t>Dashboard</t>
  </si>
  <si>
    <t>02  Bổ sung bước tái hiện + expected/actual + bằng chứng.</t>
  </si>
  <si>
    <t>Job Board</t>
  </si>
  <si>
    <t>Requisition</t>
  </si>
  <si>
    <t>Application</t>
  </si>
  <si>
    <t>03  Theo dõi trạng thái, deadline và người xử lý.</t>
  </si>
  <si>
    <t>AI Screening</t>
  </si>
  <si>
    <t>Interview</t>
  </si>
  <si>
    <t>Offer / Onboarding</t>
  </si>
  <si>
    <t>04  Ghi lịch sử chỉnh sửa / retest tại sheet Lich su.</t>
  </si>
  <si>
    <t>Email / Notification</t>
  </si>
  <si>
    <t>Database</t>
  </si>
  <si>
    <t>API / Integration</t>
  </si>
  <si>
    <t>05  Sửa xong chưa đủ: chỉ Closed sau khi retest đạt.</t>
  </si>
  <si>
    <t>UI / UX</t>
  </si>
  <si>
    <t>Security</t>
  </si>
  <si>
    <t>Other</t>
  </si>
  <si>
    <t>Chú ý: chỉ số «Tuổi bug TB» dùng ngày phát hiện đến ngày đóng (nếu đã đóng), hoặc đến hôm nay (nếu chưa đóng).</t>
  </si>
  <si>
    <t>BUG TRACKER  /  ISSUE REGISTER</t>
  </si>
  <si>
    <t>Nhập một bug trên một dòng  •  Chọn dropdown để giữ dữ liệu nhất quán  •  Cột P và Q tự tính  •  Dashboard tự tổng hợp</t>
  </si>
  <si>
    <t>QUY TRÌNH   New → Triaged → In Progress → Fixed → Retest → Closed    |    Nếu lỗi tái xuất hiện: Reopened</t>
  </si>
  <si>
    <t>Bug ID</t>
  </si>
  <si>
    <t>Tiêu đề lỗi</t>
  </si>
  <si>
    <t>Loại lỗi</t>
  </si>
  <si>
    <t>Môi trường</t>
  </si>
  <si>
    <t>Branch / Build</t>
  </si>
  <si>
    <t>Người phát hiện</t>
  </si>
  <si>
    <t>Người xử lý</t>
  </si>
  <si>
    <t>Ngày phát hiện</t>
  </si>
  <si>
    <t>Deadline</t>
  </si>
  <si>
    <t>Ngày fix</t>
  </si>
  <si>
    <t>Ngày đóng</t>
  </si>
  <si>
    <t>Tuổi bug (ngày)</t>
  </si>
  <si>
    <t>Theo dõi hạn</t>
  </si>
  <si>
    <t>Số lần reopen</t>
  </si>
  <si>
    <t>Các bước tái hiện</t>
  </si>
  <si>
    <t>Kết quả thực tế</t>
  </si>
  <si>
    <t>Kết quả mong đợi</t>
  </si>
  <si>
    <t>Link bằng chứng</t>
  </si>
  <si>
    <t>Commit / PR</t>
  </si>
  <si>
    <t>Nguyên nhân gốc</t>
  </si>
  <si>
    <t>Ghi chú / Regression</t>
  </si>
  <si>
    <t>LỊCH SỬ XỬ LÝ BUG</t>
  </si>
  <si>
    <t>Một cập nhật = một dòng  •  Ghi lại chuyển trạng thái, retest, trao đổi và bằng chứng  •  Liên kết bằng Bug ID</t>
  </si>
  <si>
    <t>Ví dụ: BUG-0001 | 18/10/2026 | Status changed | In Progress → Fixed | Linh | Sửa validate email tại RegisterService</t>
  </si>
  <si>
    <t>Thời điểm</t>
  </si>
  <si>
    <t>Sự kiện</t>
  </si>
  <si>
    <t>Status cũ</t>
  </si>
  <si>
    <t>Status mới</t>
  </si>
  <si>
    <t>Người cập nhật</t>
  </si>
  <si>
    <t>Nội dung thay đổi / Kết quả retest</t>
  </si>
  <si>
    <t>DANH MỤC &amp; QUY ƯỚC</t>
  </si>
  <si>
    <t>Các giá trị chuẩn cho dropdown. Sửa danh mục nếu workflow nhóm khác.</t>
  </si>
  <si>
    <t>Loai loi</t>
  </si>
  <si>
    <t>Moi truong</t>
  </si>
  <si>
    <t>Su kien</t>
  </si>
  <si>
    <t>Functional</t>
  </si>
  <si>
    <t>Local</t>
  </si>
  <si>
    <t>Reported</t>
  </si>
  <si>
    <t>Dev</t>
  </si>
  <si>
    <t>Validation</t>
  </si>
  <si>
    <t>QA / Test</t>
  </si>
  <si>
    <t>Assigned</t>
  </si>
  <si>
    <t>Staging</t>
  </si>
  <si>
    <t>Status changed</t>
  </si>
  <si>
    <t>Performance</t>
  </si>
  <si>
    <t>Production</t>
  </si>
  <si>
    <t>Fix committed</t>
  </si>
  <si>
    <t>Retest passed</t>
  </si>
  <si>
    <t>Integration</t>
  </si>
  <si>
    <t>Retest failed</t>
  </si>
  <si>
    <t>Compatibility</t>
  </si>
  <si>
    <t>Comment</t>
  </si>
  <si>
    <t>Severity = mức ảnh hưởng  •  Priority = thứ tự sửa  •  Status = tiến độ  •  ID giữ cố định, không đổi khi sắp xếp.</t>
  </si>
  <si>
    <t>Lưu ý: các menu chọn dùng phạm vi danh mục tại sheet này; có thể bổ sung giá trị vào các ô trống trong phạm vi.</t>
  </si>
  <si>
    <t>HƯỚNG DẪN SỬ DỤNG BUG TRACKER</t>
  </si>
  <si>
    <t>Thiết kế cho lập trình viên / tester / nhóm đồ án  •  Một file thống nhất từ phát hiện lỗi đến regression test</t>
  </si>
  <si>
    <t>01 / BẮT ĐẦU TRONG 5 BƯỚC</t>
  </si>
  <si>
    <t>1. Tạo Bug ID</t>
  </si>
  <si>
    <t>Trong Bug Log, nhập BUG-0001, BUG-0002... cho từng lỗi. ID là định danh cố định, không tạo bằng ROW() vì có thể sort.</t>
  </si>
  <si>
    <t>2. Mô tả bug</t>
  </si>
  <si>
    <t>Điền Tiêu đề lỗi, Module, Loại lỗi, Severity, Priority, Status = New, môi trường, build/branch và ngày phát hiện.</t>
  </si>
  <si>
    <t>3. Đưa bằng chứng</t>
  </si>
  <si>
    <t>Điền các bước tái hiện có đánh số; kết quả thực tế và kết quả mong đợi; dán link screenshot/log/video.</t>
  </si>
  <si>
    <t>4. Phân công &amp; sửa</t>
  </si>
  <si>
    <t>Điền người xử lý, deadline; chuyển In Progress → Fixed khi đã commit; dán commit SHA hoặc URL Pull Request.</t>
  </si>
  <si>
    <t>5. Kiểm tra &amp; đóng</t>
  </si>
  <si>
    <t>Người test chuyển Retest, xác nhận hết lỗi → Closed; nếu lỗi lặp lại → Reopened và tăng số lần reopen.</t>
  </si>
  <si>
    <t>02 / PHÂN BIỆT SEVERITY, PRIORITY VÀ STATUS</t>
  </si>
  <si>
    <t>Ý nghĩa</t>
  </si>
  <si>
    <t>Ví dụ</t>
  </si>
  <si>
    <t>Hệ thống / luồng chính không dùng được</t>
  </si>
  <si>
    <t>App không khởi động</t>
  </si>
  <si>
    <t>Sửa ngay</t>
  </si>
  <si>
    <t>Login toàn hệ thống lỗi</t>
  </si>
  <si>
    <t>Mất dữ liệu / lỗ hổng nghiêm trọng</t>
  </si>
  <si>
    <t>Lộ tài khoản, ghi sai DB</t>
  </si>
  <si>
    <t>Sửa ở sprint hiện tại</t>
  </si>
  <si>
    <t>Không thể gửi đơn ứng tuyển</t>
  </si>
  <si>
    <t>Tính năng chính lỗi, có thể workaround</t>
  </si>
  <si>
    <t>Quên mật khẩu không gửi mail</t>
  </si>
  <si>
    <t>Sửa theo kế hoạch</t>
  </si>
  <si>
    <t>Bộ lọc tìm kiếm lệch kết quả</t>
  </si>
  <si>
    <t>Ảnh hưởng nhỏ</t>
  </si>
  <si>
    <t>Thông báo sai chính tả</t>
  </si>
  <si>
    <t>Có thể xếp sau</t>
  </si>
  <si>
    <t>Khoảng cách icon chưa đẹp</t>
  </si>
  <si>
    <t>Thẩm mỹ rất nhỏ</t>
  </si>
  <si>
    <t>Border thiếu 1 px</t>
  </si>
  <si>
    <t>03 / TRẠNG THÁI ĐỀ XUẤT</t>
  </si>
  <si>
    <t>Mới phát hiện, chưa đánh giá</t>
  </si>
  <si>
    <t>Đã xác định hợp lệ / mức độ / người xử lý</t>
  </si>
  <si>
    <t>Dev đang điều tra hoặc sửa</t>
  </si>
  <si>
    <t>Dev đã sửa, có commit/PR để đối chiếu</t>
  </si>
  <si>
    <t>Tester kiểm tra bản sửa</t>
  </si>
  <si>
    <t>Retest fail hoặc lỗi tái xuất hiện</t>
  </si>
  <si>
    <t>Tester xác nhận pass / kết thúc</t>
  </si>
  <si>
    <t>Trùng Bug ID khác</t>
  </si>
  <si>
    <t>Có lý do rõ ràng để không sửa</t>
  </si>
  <si>
    <t>04 / VÍ DỤ GHI NHẬN (MINH HỌA — KHÔNG LÀM BẨN DASHBOARD)</t>
  </si>
  <si>
    <t>BUG-0001</t>
  </si>
  <si>
    <t>Tiêu đề</t>
  </si>
  <si>
    <t>Đăng nhập sai mật khẩu nhưng vẫn chuyển sang dashboard</t>
  </si>
  <si>
    <t>Thông tin</t>
  </si>
  <si>
    <t>Module: Auth / Login   |   Loại: Security   |   Severity: Critical   |   Priority: P1 - Cao</t>
  </si>
  <si>
    <t>Các bước</t>
  </si>
  <si>
    <t>1) Mở /login   2) Nhập email đúng và mật khẩu sai   3) Nhấn Đăng nhập</t>
  </si>
  <si>
    <t>Actual / Expected</t>
  </si>
  <si>
    <t>Actual: chuyển dashboard   |   Expected: ở trang login và báo sai thông tin.</t>
  </si>
  <si>
    <t>Evidence / Fix</t>
  </si>
  <si>
    <t>Link screenshot hoặc log  |  Link commit/PR khi đã sửa</t>
  </si>
  <si>
    <t>05 / LƯU Ý ĐỂ DỮ LIỆU SẠCH</t>
  </si>
  <si>
    <t>• Cột màu xanh nhạt trong Bug Log (P: Tuổi bug, Q: Theo dõi hạn) là công thức; không nhập đè.</t>
  </si>
  <si>
    <t>• Ngày phát hiện / deadline / ngày fix / ngày đóng phải là ô ngày Excel, không phải chuỗi văn bản.</t>
  </si>
  <si>
    <t>• Dashboard mặc định đọc tối đa 300 bug (dòng 7–306). Khi vượt số này, mở rộng công thức và bảng theo cùng phạm vi.</t>
  </si>
  <si>
    <t>• Mỗi lần thay trạng thái quan trọng, thêm 1 dòng ở Lich su để tránh mất thông tin trước–sau.</t>
  </si>
  <si>
    <t>• Dán đường dẫn GitHub Issue, Jira, screenshot, log, Pull Request ngay tại từng bug để truy vết.</t>
  </si>
  <si>
    <t>B01</t>
  </si>
  <si>
    <t>Candidate truy cập  requisition lỗi 500 thay vì 403</t>
  </si>
  <si>
    <t xml:space="preserve">sai mã lỗi </t>
  </si>
  <si>
    <t>Linh</t>
  </si>
  <si>
    <t>1. login with candidate account
2.  access to /requisition</t>
  </si>
  <si>
    <t>500 eror</t>
  </si>
  <si>
    <t>B02</t>
  </si>
  <si>
    <t>HR k vào vào đc /internal/job-posting theo get</t>
  </si>
  <si>
    <t>B03</t>
  </si>
  <si>
    <t>Sai mã lỗi</t>
  </si>
  <si>
    <t>chưa cấu hình get /interviews/1/final-result</t>
  </si>
  <si>
    <t>B04</t>
  </si>
  <si>
    <t>Thông báo khi anh khi update thông tin trùng</t>
  </si>
  <si>
    <t>B05</t>
  </si>
  <si>
    <t>HM khác login xem application k ném lỗi 403 mà là cho xem nma ko có list appli</t>
  </si>
  <si>
    <t>http://localhost:8081/talent-pool/jobs/8/suggest lỗi 500</t>
  </si>
  <si>
    <t>B06</t>
  </si>
  <si>
    <t>Lỗi FE khi bấm đóng dợt tuyể</t>
  </si>
  <si>
    <t>B07</t>
  </si>
  <si>
    <t>lỗi  mất kết nối sever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</si>
</sst>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"/>
  </numFmts>
  <fonts count="23">
    <font>
      <sz val="11"/>
      <name val="Carlito"/>
    </font>
    <font>
      <b/>
      <sz val="22"/>
      <color rgb="FFFFFFFF"/>
      <name val="Aptos Display"/>
    </font>
    <font>
      <sz val="10"/>
      <color rgb="FFDCECF6"/>
      <name val="Aptos"/>
    </font>
    <font>
      <b/>
      <sz val="11"/>
      <color rgb="FFFFFFFF"/>
      <name val="Carlito"/>
    </font>
    <font>
      <sz val="10"/>
      <color rgb="FF14283F"/>
      <name val="Aptos"/>
    </font>
    <font>
      <sz val="10"/>
      <color rgb="FF213852"/>
      <name val="Carlito"/>
    </font>
    <font>
      <i/>
      <sz val="10"/>
      <color rgb="FF65758B"/>
      <name val="Carlito"/>
    </font>
    <font>
      <b/>
      <sz val="10"/>
      <color rgb="FF0D9488"/>
      <name val="Carlito"/>
    </font>
    <font>
      <b/>
      <sz val="10"/>
      <color rgb="FFFFFFFF"/>
      <name val="Aptos"/>
    </font>
    <font>
      <sz val="10"/>
      <color rgb="FF1D4ED8"/>
      <name val="Aptos"/>
    </font>
    <font>
      <sz val="10"/>
      <color rgb="FF0D9488"/>
      <name val="Carlito"/>
    </font>
    <font>
      <b/>
      <sz val="10"/>
      <color rgb="FFFFFFFF"/>
      <name val="Carlito"/>
    </font>
    <font>
      <sz val="11"/>
      <name val="Aptos"/>
    </font>
    <font>
      <sz val="10"/>
      <color rgb="FF213852"/>
      <name val="Aptos"/>
    </font>
    <font>
      <b/>
      <sz val="10"/>
      <color rgb="FFEAF1FA"/>
      <name val="Aptos"/>
    </font>
    <font>
      <b/>
      <sz val="27"/>
      <color rgb="FFFFFFFF"/>
      <name val="Aptos"/>
    </font>
    <font>
      <b/>
      <sz val="11"/>
      <color rgb="FFFFFFFF"/>
      <name val="Aptos"/>
    </font>
    <font>
      <b/>
      <sz val="11"/>
      <color rgb="FF213852"/>
      <name val="Aptos"/>
    </font>
    <font>
      <sz val="10"/>
      <color rgb="FF92400E"/>
      <name val="Aptos"/>
    </font>
    <font>
      <b/>
      <sz val="10"/>
      <color rgb="FF0D9488"/>
      <name val="Aptos"/>
    </font>
    <font>
      <sz val="9"/>
      <color rgb="FF14283F"/>
      <name val="Aptos"/>
    </font>
    <font>
      <b/>
      <sz val="10"/>
      <color rgb="FF213852"/>
      <name val="Aptos"/>
    </font>
    <font>
      <u/>
      <sz val="11"/>
      <color theme="10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13243B"/>
      </patternFill>
    </fill>
    <fill>
      <patternFill patternType="solid">
        <fgColor rgb="FF213852"/>
      </patternFill>
    </fill>
    <fill>
      <patternFill patternType="solid">
        <fgColor rgb="FF0D9488"/>
      </patternFill>
    </fill>
    <fill>
      <patternFill patternType="solid">
        <fgColor rgb="FFEBF3FF"/>
      </patternFill>
    </fill>
    <fill>
      <patternFill patternType="solid">
        <fgColor rgb="FFE8F8F5"/>
      </patternFill>
    </fill>
    <fill>
      <patternFill patternType="solid">
        <fgColor rgb="FFF1F7FF"/>
      </patternFill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168454"/>
      </patternFill>
    </fill>
    <fill>
      <patternFill patternType="solid">
        <fgColor rgb="FF7C3AED"/>
      </patternFill>
    </fill>
    <fill>
      <patternFill patternType="solid">
        <fgColor rgb="FF566B85"/>
      </patternFill>
    </fill>
    <fill>
      <patternFill patternType="solid">
        <fgColor rgb="FFF0F8F6"/>
      </patternFill>
    </fill>
    <fill>
      <patternFill patternType="solid">
        <fgColor rgb="FFFFF6E1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FDECEC"/>
      </patternFill>
    </fill>
    <fill>
      <patternFill patternType="solid">
        <fgColor rgb="FFFFE7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9">
    <xf numFmtId="0" fontId="0" fillId="0" borderId="0" xfId="0"/>
    <xf numFmtId="0" fontId="3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8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1" fontId="9" fillId="7" borderId="0" xfId="0" applyNumberFormat="1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11" fillId="3" borderId="0" xfId="0" applyFont="1" applyFill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12" fillId="0" borderId="0" xfId="0" applyFont="1"/>
    <xf numFmtId="0" fontId="17" fillId="5" borderId="0" xfId="0" applyFont="1" applyFill="1"/>
    <xf numFmtId="9" fontId="12" fillId="0" borderId="0" xfId="0" applyNumberFormat="1" applyFont="1"/>
    <xf numFmtId="0" fontId="12" fillId="0" borderId="0" xfId="0" applyFont="1" applyAlignment="1">
      <alignment horizontal="center"/>
    </xf>
    <xf numFmtId="9" fontId="12" fillId="0" borderId="0" xfId="0" applyNumberFormat="1" applyFont="1" applyAlignment="1">
      <alignment horizontal="center"/>
    </xf>
    <xf numFmtId="0" fontId="20" fillId="0" borderId="0" xfId="0" applyFont="1" applyAlignment="1">
      <alignment vertical="center" wrapText="1"/>
    </xf>
    <xf numFmtId="0" fontId="20" fillId="17" borderId="0" xfId="0" applyFont="1" applyFill="1" applyAlignment="1">
      <alignment vertical="center" wrapText="1"/>
    </xf>
    <xf numFmtId="0" fontId="20" fillId="18" borderId="0" xfId="0" applyFont="1" applyFill="1" applyAlignment="1">
      <alignment vertical="center" wrapText="1"/>
    </xf>
    <xf numFmtId="0" fontId="20" fillId="14" borderId="0" xfId="0" applyFont="1" applyFill="1" applyAlignment="1">
      <alignment vertical="center" wrapText="1"/>
    </xf>
    <xf numFmtId="0" fontId="21" fillId="5" borderId="0" xfId="0" applyFont="1" applyFill="1" applyAlignment="1">
      <alignment vertical="center" wrapText="1"/>
    </xf>
    <xf numFmtId="0" fontId="22" fillId="0" borderId="0" xfId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13" fillId="13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8" fillId="14" borderId="0" xfId="0" applyFont="1" applyFill="1" applyAlignment="1">
      <alignment wrapText="1"/>
    </xf>
    <xf numFmtId="0" fontId="16" fillId="3" borderId="0" xfId="0" applyFont="1" applyFill="1" applyAlignment="1">
      <alignment vertical="center"/>
    </xf>
    <xf numFmtId="0" fontId="14" fillId="12" borderId="0" xfId="0" applyFont="1" applyFill="1" applyAlignment="1">
      <alignment horizontal="center" vertical="center"/>
    </xf>
    <xf numFmtId="165" fontId="15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9" fontId="15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0" fillId="6" borderId="0" xfId="0" applyFont="1" applyFill="1"/>
    <xf numFmtId="0" fontId="5" fillId="5" borderId="0" xfId="0" applyFont="1" applyFill="1"/>
    <xf numFmtId="0" fontId="6" fillId="0" borderId="0" xfId="0" applyFont="1"/>
    <xf numFmtId="0" fontId="13" fillId="16" borderId="0" xfId="0" applyFont="1" applyFill="1" applyAlignment="1">
      <alignment vertical="center" wrapText="1"/>
    </xf>
    <xf numFmtId="0" fontId="13" fillId="15" borderId="0" xfId="0" applyFont="1" applyFill="1" applyAlignment="1">
      <alignment vertical="center" wrapText="1"/>
    </xf>
    <xf numFmtId="0" fontId="19" fillId="6" borderId="0" xfId="0" applyFont="1" applyFill="1"/>
    <xf numFmtId="0" fontId="4" fillId="15" borderId="0" xfId="0" applyFont="1" applyFill="1" applyAlignment="1">
      <alignment wrapText="1"/>
    </xf>
    <xf numFmtId="0" fontId="4" fillId="16" borderId="0" xfId="0" applyFont="1" applyFill="1" applyAlignment="1">
      <alignment wrapText="1"/>
    </xf>
    <xf numFmtId="0" fontId="4" fillId="0" borderId="0" xfId="0" applyFont="1" applyAlignment="1">
      <alignment vertical="center" wrapText="1"/>
    </xf>
    <xf numFmtId="0" fontId="19" fillId="6" borderId="0" xfId="0" applyFont="1" applyFill="1" applyAlignment="1">
      <alignment vertical="center" wrapText="1"/>
    </xf>
    <xf numFmtId="0" fontId="4" fillId="15" borderId="0" xfId="0" applyFont="1" applyFill="1" applyAlignment="1">
      <alignment vertical="center" wrapText="1"/>
    </xf>
    <xf numFmtId="0" fontId="4" fillId="16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20">
    <dxf>
      <font>
        <b/>
        <color rgb="FFDC2626"/>
      </font>
      <fill>
        <patternFill patternType="solid">
          <bgColor rgb="FFFDECEC"/>
        </patternFill>
      </fill>
    </dxf>
    <dxf>
      <font>
        <b/>
        <color rgb="FF168454"/>
      </font>
      <fill>
        <patternFill patternType="solid">
          <bgColor rgb="FFEAF8EE"/>
        </patternFill>
      </fill>
    </dxf>
    <dxf>
      <font>
        <color rgb="FF9A3412"/>
      </font>
      <fill>
        <patternFill patternType="solid">
          <bgColor rgb="FFFFF6E1"/>
        </patternFill>
      </fill>
    </dxf>
    <dxf>
      <font>
        <color rgb="FF168454"/>
      </font>
      <fill>
        <patternFill patternType="solid">
          <bgColor rgb="FFEAF8EE"/>
        </patternFill>
      </fill>
    </dxf>
    <dxf>
      <font>
        <color rgb="FF92400E"/>
      </font>
      <fill>
        <patternFill patternType="solid">
          <bgColor rgb="FFFFF6E1"/>
        </patternFill>
      </fill>
    </dxf>
    <dxf>
      <font>
        <b/>
        <color rgb="FFDC2626"/>
      </font>
      <fill>
        <patternFill patternType="solid">
          <bgColor rgb="FFFDECEC"/>
        </patternFill>
      </fill>
    </dxf>
    <dxf>
      <font>
        <color rgb="FF2563EB"/>
      </font>
      <fill>
        <patternFill patternType="solid">
          <bgColor rgb="FFEBF3FF"/>
        </patternFill>
      </fill>
    </dxf>
    <dxf>
      <font>
        <color rgb="FF7C3AED"/>
      </font>
      <fill>
        <patternFill patternType="solid">
          <bgColor rgb="FFF2EDFF"/>
        </patternFill>
      </fill>
    </dxf>
    <dxf>
      <font>
        <b/>
        <color rgb="FFDC2626"/>
      </font>
      <fill>
        <patternFill patternType="solid">
          <bgColor rgb="FFFDECEC"/>
        </patternFill>
      </fill>
    </dxf>
    <dxf>
      <font>
        <b/>
        <color rgb="FF168454"/>
      </font>
      <fill>
        <patternFill patternType="solid">
          <bgColor rgb="FFEAF8EE"/>
        </patternFill>
      </fill>
    </dxf>
    <dxf>
      <font>
        <color rgb="FF92400E"/>
      </font>
      <fill>
        <patternFill patternType="solid">
          <bgColor rgb="FFFFF6E1"/>
        </patternFill>
      </fill>
    </dxf>
    <dxf>
      <font>
        <b/>
        <color rgb="FFDC2626"/>
      </font>
      <fill>
        <patternFill patternType="solid">
          <bgColor rgb="FFFDECEC"/>
        </patternFill>
      </fill>
    </dxf>
    <dxf>
      <font>
        <color rgb="FF1D4ED8"/>
      </font>
      <fill>
        <patternFill patternType="solid">
          <bgColor rgb="FFEBF3FF"/>
        </patternFill>
      </fill>
    </dxf>
    <dxf>
      <font>
        <color rgb="FF92400E"/>
      </font>
      <fill>
        <patternFill patternType="solid">
          <bgColor rgb="FFFFF6E1"/>
        </patternFill>
      </fill>
    </dxf>
    <dxf>
      <font>
        <b/>
        <color rgb="FFC2410C"/>
      </font>
      <fill>
        <patternFill patternType="solid">
          <bgColor rgb="FFFFE5DD"/>
        </patternFill>
      </fill>
    </dxf>
    <dxf>
      <font>
        <b/>
        <color rgb="FFA61B1B"/>
      </font>
      <fill>
        <patternFill patternType="solid">
          <bgColor rgb="FFFDECEC"/>
        </patternFill>
      </fill>
    </dxf>
    <dxf>
      <font>
        <b/>
        <color rgb="FFB45309"/>
      </font>
      <fill>
        <patternFill patternType="solid">
          <bgColor rgb="FFFFF6E1"/>
        </patternFill>
      </fill>
    </dxf>
    <dxf>
      <font>
        <b/>
        <color rgb="FFDC2626"/>
      </font>
      <fill>
        <patternFill patternType="solid">
          <bgColor rgb="FFFDECEC"/>
        </patternFill>
      </fill>
    </dxf>
    <dxf>
      <font>
        <b/>
        <color rgb="FFDC2626"/>
      </font>
      <fill>
        <patternFill patternType="solid">
          <bgColor rgb="FFFDECEC"/>
        </patternFill>
      </fill>
    </dxf>
    <dxf>
      <font>
        <b/>
        <color rgb="FF168454"/>
      </font>
      <fill>
        <patternFill patternType="solid">
          <bgColor rgb="FFEAF8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Số bug</c:v>
          </c:tx>
          <c:invertIfNegative val="1"/>
          <c:cat>
            <c:strRef>
              <c:f>Dashboard!$A$18:$A$26</c:f>
              <c:strCache>
                <c:ptCount val="9"/>
                <c:pt idx="0">
                  <c:v>New</c:v>
                </c:pt>
                <c:pt idx="1">
                  <c:v>Triaged</c:v>
                </c:pt>
                <c:pt idx="2">
                  <c:v>In Progress</c:v>
                </c:pt>
                <c:pt idx="3">
                  <c:v>Fixed</c:v>
                </c:pt>
                <c:pt idx="4">
                  <c:v>Retest</c:v>
                </c:pt>
                <c:pt idx="5">
                  <c:v>Reopened</c:v>
                </c:pt>
                <c:pt idx="6">
                  <c:v>Closed</c:v>
                </c:pt>
                <c:pt idx="7">
                  <c:v>Won't Fix</c:v>
                </c:pt>
                <c:pt idx="8">
                  <c:v>Duplicate</c:v>
                </c:pt>
              </c:strCache>
            </c:strRef>
          </c:cat>
          <c:val>
            <c:numRef>
              <c:f>Dashboard!$B$18:$B$26</c:f>
              <c:numCache>
                <c:formatCode>General</c:formatCode>
                <c:ptCount val="9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E-4527-B99C-CEDB2B6CA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Số bug</c:v>
          </c:tx>
          <c:invertIfNegative val="1"/>
          <c:cat>
            <c:strRef>
              <c:f>Dashboard!$F$18:$F$22</c:f>
              <c:strCache>
                <c:ptCount val="5"/>
                <c:pt idx="0">
                  <c:v>Blocker</c:v>
                </c:pt>
                <c:pt idx="1">
                  <c:v>Critical</c:v>
                </c:pt>
                <c:pt idx="2">
                  <c:v>Major</c:v>
                </c:pt>
                <c:pt idx="3">
                  <c:v>Minor</c:v>
                </c:pt>
                <c:pt idx="4">
                  <c:v>Trivial</c:v>
                </c:pt>
              </c:strCache>
            </c:strRef>
          </c:cat>
          <c:val>
            <c:numRef>
              <c:f>Dashboard!$G$18:$G$22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0-466E-A497-FA1C8BFB5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Tracker" displayName="BugTracker" ref="A6:Y306" totalsRowShown="0">
  <tableColumns count="25">
    <tableColumn id="1" xr3:uid="{00000000-0010-0000-0000-000001000000}" name="Bug ID"/>
    <tableColumn id="2" xr3:uid="{00000000-0010-0000-0000-000002000000}" name="Tiêu đề lỗi"/>
    <tableColumn id="3" xr3:uid="{00000000-0010-0000-0000-000003000000}" name="Module"/>
    <tableColumn id="4" xr3:uid="{00000000-0010-0000-0000-000004000000}" name="Loại lỗi"/>
    <tableColumn id="5" xr3:uid="{00000000-0010-0000-0000-000005000000}" name="Severity"/>
    <tableColumn id="6" xr3:uid="{00000000-0010-0000-0000-000006000000}" name="Priority"/>
    <tableColumn id="7" xr3:uid="{00000000-0010-0000-0000-000007000000}" name="Status"/>
    <tableColumn id="8" xr3:uid="{00000000-0010-0000-0000-000008000000}" name="Môi trường"/>
    <tableColumn id="9" xr3:uid="{00000000-0010-0000-0000-000009000000}" name="Branch / Build"/>
    <tableColumn id="10" xr3:uid="{00000000-0010-0000-0000-00000A000000}" name="Người phát hiện"/>
    <tableColumn id="11" xr3:uid="{00000000-0010-0000-0000-00000B000000}" name="Người xử lý"/>
    <tableColumn id="12" xr3:uid="{00000000-0010-0000-0000-00000C000000}" name="Ngày phát hiện"/>
    <tableColumn id="13" xr3:uid="{00000000-0010-0000-0000-00000D000000}" name="Deadline"/>
    <tableColumn id="14" xr3:uid="{00000000-0010-0000-0000-00000E000000}" name="Ngày fix"/>
    <tableColumn id="15" xr3:uid="{00000000-0010-0000-0000-00000F000000}" name="Ngày đóng"/>
    <tableColumn id="16" xr3:uid="{00000000-0010-0000-0000-000010000000}" name="Tuổi bug (ngày)"/>
    <tableColumn id="17" xr3:uid="{00000000-0010-0000-0000-000011000000}" name="Theo dõi hạn"/>
    <tableColumn id="18" xr3:uid="{00000000-0010-0000-0000-000012000000}" name="Số lần reopen"/>
    <tableColumn id="19" xr3:uid="{00000000-0010-0000-0000-000013000000}" name="Các bước tái hiện"/>
    <tableColumn id="20" xr3:uid="{00000000-0010-0000-0000-000014000000}" name="Kết quả thực tế"/>
    <tableColumn id="21" xr3:uid="{00000000-0010-0000-0000-000015000000}" name="Kết quả mong đợi"/>
    <tableColumn id="22" xr3:uid="{00000000-0010-0000-0000-000016000000}" name="Link bằng chứng"/>
    <tableColumn id="23" xr3:uid="{00000000-0010-0000-0000-000017000000}" name="Commit / PR"/>
    <tableColumn id="24" xr3:uid="{00000000-0010-0000-0000-000018000000}" name="Nguyên nhân gốc"/>
    <tableColumn id="25" xr3:uid="{00000000-0010-0000-0000-000019000000}" name="Ghi chú / Regres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gChangeHistory" displayName="BugChangeHistory" ref="A6:I206" totalsRowShown="0">
  <tableColumns count="9">
    <tableColumn id="1" xr3:uid="{00000000-0010-0000-0100-000001000000}" name="Bug ID"/>
    <tableColumn id="2" xr3:uid="{00000000-0010-0000-0100-000002000000}" name="Thời điểm"/>
    <tableColumn id="3" xr3:uid="{00000000-0010-0000-0100-000003000000}" name="Sự kiện"/>
    <tableColumn id="4" xr3:uid="{00000000-0010-0000-0100-000004000000}" name="Status cũ"/>
    <tableColumn id="5" xr3:uid="{00000000-0010-0000-0100-000005000000}" name="Status mới"/>
    <tableColumn id="6" xr3:uid="{00000000-0010-0000-0100-000006000000}" name="Người cập nhật"/>
    <tableColumn id="7" xr3:uid="{00000000-0010-0000-0100-000007000000}" name="Nội dung thay đổi / Kết quả retest"/>
    <tableColumn id="8" xr3:uid="{00000000-0010-0000-0100-000008000000}" name="Link bằng chứng"/>
    <tableColumn id="9" xr3:uid="{00000000-0010-0000-0100-000009000000}" name="Commit / P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localhost:8081/talent-pool/jobs/8/suggest%20l&#7895;i%2050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zoomScale="55" zoomScaleNormal="55" workbookViewId="0">
      <pane ySplit="4" topLeftCell="A40" activePane="bottomLeft" state="frozen"/>
      <selection pane="bottomLeft" activeCell="N10" sqref="N10"/>
    </sheetView>
  </sheetViews>
  <sheetFormatPr defaultRowHeight="14"/>
  <cols>
    <col min="1" max="1" width="22" customWidth="1"/>
    <col min="2" max="5" width="17" customWidth="1"/>
    <col min="6" max="6" width="19" customWidth="1"/>
    <col min="7" max="9" width="17" customWidth="1"/>
    <col min="10" max="10" width="20" customWidth="1"/>
    <col min="11" max="12" width="17" customWidth="1"/>
  </cols>
  <sheetData>
    <row r="1" spans="1:12" ht="2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27" customHeight="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28" customHeight="1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2" ht="14.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9" customHeight="1">
      <c r="A6" s="39" t="s">
        <v>3</v>
      </c>
      <c r="B6" s="39"/>
      <c r="C6" s="39"/>
      <c r="D6" s="41" t="s">
        <v>4</v>
      </c>
      <c r="E6" s="41"/>
      <c r="F6" s="41"/>
      <c r="G6" s="43" t="s">
        <v>5</v>
      </c>
      <c r="H6" s="43"/>
      <c r="I6" s="43"/>
      <c r="J6" s="45" t="s">
        <v>6</v>
      </c>
      <c r="K6" s="45"/>
      <c r="L6" s="45"/>
    </row>
    <row r="7" spans="1:12" ht="24" customHeight="1">
      <c r="A7" s="40">
        <f>COUNTIF('Bug Log'!$A$7:$A$306,"&lt;&gt;")</f>
        <v>8</v>
      </c>
      <c r="B7" s="40"/>
      <c r="C7" s="40"/>
      <c r="D7" s="42">
        <f>COUNTIF('Bug Log'!$A$7:$A$306,"&lt;&gt;")-COUNTIFS('Bug Log'!$A$7:$A$306,"&lt;&gt;",'Bug Log'!$G$7:$G$306,"Closed")-COUNTIFS('Bug Log'!$A$7:$A$306,"&lt;&gt;",'Bug Log'!$G$7:$G$306,"Duplicate")-COUNTIFS('Bug Log'!$A$7:$A$306,"&lt;&gt;",'Bug Log'!$G$7:$G$306,"Won't Fix")</f>
        <v>8</v>
      </c>
      <c r="E7" s="42"/>
      <c r="F7" s="42"/>
      <c r="G7" s="44">
        <f ca="1">COUNTIFS('Bug Log'!$A$7:$A$306,"&lt;&gt;",'Bug Log'!$Q$7:$Q$306,"Quá hạn")</f>
        <v>2</v>
      </c>
      <c r="H7" s="44"/>
      <c r="I7" s="44"/>
      <c r="J7" s="46">
        <f>COUNTIFS('Bug Log'!$A$7:$A$306,"&lt;&gt;",'Bug Log'!$G$7:$G$306,"Closed")</f>
        <v>0</v>
      </c>
      <c r="K7" s="46"/>
      <c r="L7" s="46"/>
    </row>
    <row r="8" spans="1:12" ht="24" customHeight="1">
      <c r="A8" s="40"/>
      <c r="B8" s="40"/>
      <c r="C8" s="40"/>
      <c r="D8" s="42"/>
      <c r="E8" s="42"/>
      <c r="F8" s="42"/>
      <c r="G8" s="44"/>
      <c r="H8" s="44"/>
      <c r="I8" s="44"/>
      <c r="J8" s="46"/>
      <c r="K8" s="46"/>
      <c r="L8" s="46"/>
    </row>
    <row r="9" spans="1:12" ht="24" customHeight="1">
      <c r="A9" s="40"/>
      <c r="B9" s="40"/>
      <c r="C9" s="40"/>
      <c r="D9" s="42"/>
      <c r="E9" s="42"/>
      <c r="F9" s="42"/>
      <c r="G9" s="44"/>
      <c r="H9" s="44"/>
      <c r="I9" s="44"/>
      <c r="J9" s="46"/>
      <c r="K9" s="46"/>
      <c r="L9" s="46"/>
    </row>
    <row r="10" spans="1:12" ht="14.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29" customHeight="1">
      <c r="A11" s="32" t="s">
        <v>7</v>
      </c>
      <c r="B11" s="32"/>
      <c r="C11" s="32"/>
      <c r="D11" s="34" t="s">
        <v>8</v>
      </c>
      <c r="E11" s="34"/>
      <c r="F11" s="34"/>
      <c r="G11" s="36" t="s">
        <v>9</v>
      </c>
      <c r="H11" s="36"/>
      <c r="I11" s="36"/>
      <c r="J11" s="29" t="s">
        <v>10</v>
      </c>
      <c r="K11" s="29"/>
      <c r="L11" s="29"/>
    </row>
    <row r="12" spans="1:12" ht="24" customHeight="1">
      <c r="A12" s="33">
        <f>COUNTIFS('Bug Log'!$A$7:$A$306,"&lt;&gt;",'Bug Log'!$E$7:$E$306,"Blocker")+COUNTIFS('Bug Log'!$A$7:$A$306,"&lt;&gt;",'Bug Log'!$E$7:$E$306,"Critical")</f>
        <v>3</v>
      </c>
      <c r="B12" s="33"/>
      <c r="C12" s="33"/>
      <c r="D12" s="35">
        <f>COUNTIFS('Bug Log'!$A$7:$A$306,"&lt;&gt;",'Bug Log'!$G$7:$G$306,"Retest")</f>
        <v>0</v>
      </c>
      <c r="E12" s="35"/>
      <c r="F12" s="35"/>
      <c r="G12" s="37">
        <f>IFERROR(COUNTIFS('Bug Log'!$A$7:$A$306,"&lt;&gt;",'Bug Log'!$G$7:$G$306,"Closed")/COUNTIF('Bug Log'!$A$7:$A$306,"&lt;&gt;"),0)</f>
        <v>0</v>
      </c>
      <c r="H12" s="38"/>
      <c r="I12" s="38"/>
      <c r="J12" s="30">
        <f ca="1">IFERROR(AVERAGE('Bug Log'!$P$7:$P$306),0)</f>
        <v>7</v>
      </c>
      <c r="K12" s="31"/>
      <c r="L12" s="31"/>
    </row>
    <row r="13" spans="1:12" ht="24" customHeight="1">
      <c r="A13" s="33"/>
      <c r="B13" s="33"/>
      <c r="C13" s="33"/>
      <c r="D13" s="35"/>
      <c r="E13" s="35"/>
      <c r="F13" s="35"/>
      <c r="G13" s="38"/>
      <c r="H13" s="38"/>
      <c r="I13" s="38"/>
      <c r="J13" s="31"/>
      <c r="K13" s="31"/>
      <c r="L13" s="31"/>
    </row>
    <row r="14" spans="1:12" ht="24" customHeight="1">
      <c r="A14" s="33"/>
      <c r="B14" s="33"/>
      <c r="C14" s="33"/>
      <c r="D14" s="35"/>
      <c r="E14" s="35"/>
      <c r="F14" s="35"/>
      <c r="G14" s="38"/>
      <c r="H14" s="38"/>
      <c r="I14" s="38"/>
      <c r="J14" s="31"/>
      <c r="K14" s="31"/>
      <c r="L14" s="31"/>
    </row>
    <row r="15" spans="1:12" ht="14.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31" customHeight="1">
      <c r="A16" s="28" t="s">
        <v>11</v>
      </c>
      <c r="B16" s="28"/>
      <c r="C16" s="28"/>
      <c r="D16" s="28"/>
      <c r="E16" s="11"/>
      <c r="F16" s="28" t="s">
        <v>12</v>
      </c>
      <c r="G16" s="28"/>
      <c r="H16" s="28"/>
      <c r="I16" s="28"/>
      <c r="J16" s="28" t="s">
        <v>13</v>
      </c>
      <c r="K16" s="28"/>
      <c r="L16" s="28"/>
    </row>
    <row r="17" spans="1:12" ht="25" customHeight="1">
      <c r="A17" s="12" t="s">
        <v>14</v>
      </c>
      <c r="B17" s="12" t="s">
        <v>15</v>
      </c>
      <c r="C17" s="12" t="s">
        <v>16</v>
      </c>
      <c r="D17" s="12"/>
      <c r="E17" s="11"/>
      <c r="F17" s="12" t="s">
        <v>17</v>
      </c>
      <c r="G17" s="12" t="s">
        <v>15</v>
      </c>
      <c r="H17" s="12" t="s">
        <v>16</v>
      </c>
      <c r="I17" s="12"/>
      <c r="J17" s="12" t="s">
        <v>18</v>
      </c>
      <c r="K17" s="12" t="s">
        <v>15</v>
      </c>
      <c r="L17" s="12" t="s">
        <v>16</v>
      </c>
    </row>
    <row r="18" spans="1:12" ht="25" customHeight="1">
      <c r="A18" s="11" t="s">
        <v>19</v>
      </c>
      <c r="B18" s="14">
        <f>COUNTIFS('Bug Log'!$A$7:$A$306,"&lt;&gt;",'Bug Log'!$G$7:$G$306,A18)</f>
        <v>6</v>
      </c>
      <c r="C18" s="15">
        <f t="shared" ref="C18:C26" si="0">IFERROR(B18/$A$7,0)</f>
        <v>0.75</v>
      </c>
      <c r="D18" s="11"/>
      <c r="E18" s="11"/>
      <c r="F18" s="11" t="s">
        <v>20</v>
      </c>
      <c r="G18" s="11">
        <f>COUNTIFS('Bug Log'!$A$7:$A$306,"&lt;&gt;",'Bug Log'!$E$7:$E$306,F18)</f>
        <v>1</v>
      </c>
      <c r="H18" s="13">
        <f>IFERROR(G18/$A$7,0)</f>
        <v>0.125</v>
      </c>
      <c r="I18" s="11"/>
      <c r="J18" s="11" t="s">
        <v>21</v>
      </c>
      <c r="K18" s="11">
        <f>COUNTIFS('Bug Log'!$A$7:$A$306,"&lt;&gt;",'Bug Log'!$F$7:$F$306,J18)</f>
        <v>1</v>
      </c>
      <c r="L18" s="13">
        <f>IFERROR(K18/$A$7,0)</f>
        <v>0.125</v>
      </c>
    </row>
    <row r="19" spans="1:12" ht="25" customHeight="1">
      <c r="A19" s="11" t="s">
        <v>22</v>
      </c>
      <c r="B19" s="14">
        <f>COUNTIFS('Bug Log'!$A$7:$A$306,"&lt;&gt;",'Bug Log'!$G$7:$G$306,A19)</f>
        <v>2</v>
      </c>
      <c r="C19" s="15">
        <f t="shared" si="0"/>
        <v>0.25</v>
      </c>
      <c r="D19" s="11"/>
      <c r="E19" s="11"/>
      <c r="F19" s="11" t="s">
        <v>23</v>
      </c>
      <c r="G19" s="11">
        <f>COUNTIFS('Bug Log'!$A$7:$A$306,"&lt;&gt;",'Bug Log'!$E$7:$E$306,F19)</f>
        <v>2</v>
      </c>
      <c r="H19" s="13">
        <f>IFERROR(G19/$A$7,0)</f>
        <v>0.25</v>
      </c>
      <c r="I19" s="11"/>
      <c r="J19" s="11" t="s">
        <v>24</v>
      </c>
      <c r="K19" s="11">
        <f>COUNTIFS('Bug Log'!$A$7:$A$306,"&lt;&gt;",'Bug Log'!$F$7:$F$306,J19)</f>
        <v>2</v>
      </c>
      <c r="L19" s="13">
        <f>IFERROR(K19/$A$7,0)</f>
        <v>0.25</v>
      </c>
    </row>
    <row r="20" spans="1:12" ht="25" customHeight="1">
      <c r="A20" s="11" t="s">
        <v>25</v>
      </c>
      <c r="B20" s="14">
        <f>COUNTIFS('Bug Log'!$A$7:$A$306,"&lt;&gt;",'Bug Log'!$G$7:$G$306,A20)</f>
        <v>0</v>
      </c>
      <c r="C20" s="15">
        <f t="shared" si="0"/>
        <v>0</v>
      </c>
      <c r="D20" s="11"/>
      <c r="E20" s="11"/>
      <c r="F20" s="11" t="s">
        <v>26</v>
      </c>
      <c r="G20" s="11">
        <f>COUNTIFS('Bug Log'!$A$7:$A$306,"&lt;&gt;",'Bug Log'!$E$7:$E$306,F20)</f>
        <v>1</v>
      </c>
      <c r="H20" s="13">
        <f>IFERROR(G20/$A$7,0)</f>
        <v>0.125</v>
      </c>
      <c r="I20" s="11"/>
      <c r="J20" s="11" t="s">
        <v>27</v>
      </c>
      <c r="K20" s="11">
        <f>COUNTIFS('Bug Log'!$A$7:$A$306,"&lt;&gt;",'Bug Log'!$F$7:$F$306,J20)</f>
        <v>3</v>
      </c>
      <c r="L20" s="13">
        <f>IFERROR(K20/$A$7,0)</f>
        <v>0.375</v>
      </c>
    </row>
    <row r="21" spans="1:12" ht="25" customHeight="1">
      <c r="A21" s="11" t="s">
        <v>28</v>
      </c>
      <c r="B21" s="14">
        <f>COUNTIFS('Bug Log'!$A$7:$A$306,"&lt;&gt;",'Bug Log'!$G$7:$G$306,A21)</f>
        <v>0</v>
      </c>
      <c r="C21" s="15">
        <f t="shared" si="0"/>
        <v>0</v>
      </c>
      <c r="D21" s="11"/>
      <c r="E21" s="11"/>
      <c r="F21" s="11" t="s">
        <v>29</v>
      </c>
      <c r="G21" s="11">
        <f>COUNTIFS('Bug Log'!$A$7:$A$306,"&lt;&gt;",'Bug Log'!$E$7:$E$306,F21)</f>
        <v>4</v>
      </c>
      <c r="H21" s="13">
        <f>IFERROR(G21/$A$7,0)</f>
        <v>0.5</v>
      </c>
      <c r="I21" s="11"/>
      <c r="J21" s="11" t="s">
        <v>30</v>
      </c>
      <c r="K21" s="11">
        <f>COUNTIFS('Bug Log'!$A$7:$A$306,"&lt;&gt;",'Bug Log'!$F$7:$F$306,J21)</f>
        <v>2</v>
      </c>
      <c r="L21" s="13">
        <f>IFERROR(K21/$A$7,0)</f>
        <v>0.25</v>
      </c>
    </row>
    <row r="22" spans="1:12" ht="25" customHeight="1">
      <c r="A22" s="11" t="s">
        <v>31</v>
      </c>
      <c r="B22" s="14">
        <f>COUNTIFS('Bug Log'!$A$7:$A$306,"&lt;&gt;",'Bug Log'!$G$7:$G$306,A22)</f>
        <v>0</v>
      </c>
      <c r="C22" s="15">
        <f t="shared" si="0"/>
        <v>0</v>
      </c>
      <c r="D22" s="11"/>
      <c r="E22" s="11"/>
      <c r="F22" s="11" t="s">
        <v>32</v>
      </c>
      <c r="G22" s="11">
        <f>COUNTIFS('Bug Log'!$A$7:$A$306,"&lt;&gt;",'Bug Log'!$E$7:$E$306,F22)</f>
        <v>0</v>
      </c>
      <c r="H22" s="13">
        <f>IFERROR(G22/$A$7,0)</f>
        <v>0</v>
      </c>
      <c r="I22" s="11"/>
      <c r="J22" s="11"/>
      <c r="K22" s="11"/>
      <c r="L22" s="11"/>
    </row>
    <row r="23" spans="1:12" ht="25" customHeight="1">
      <c r="A23" s="11" t="s">
        <v>33</v>
      </c>
      <c r="B23" s="14">
        <f>COUNTIFS('Bug Log'!$A$7:$A$306,"&lt;&gt;",'Bug Log'!$G$7:$G$306,A23)</f>
        <v>0</v>
      </c>
      <c r="C23" s="15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25" customHeight="1">
      <c r="A24" s="11" t="s">
        <v>34</v>
      </c>
      <c r="B24" s="14">
        <f>COUNTIFS('Bug Log'!$A$7:$A$306,"&lt;&gt;",'Bug Log'!$G$7:$G$306,A24)</f>
        <v>0</v>
      </c>
      <c r="C24" s="15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25" customHeight="1">
      <c r="A25" s="11" t="s">
        <v>35</v>
      </c>
      <c r="B25" s="14">
        <f>COUNTIFS('Bug Log'!$A$7:$A$306,"&lt;&gt;",'Bug Log'!$G$7:$G$306,A25)</f>
        <v>0</v>
      </c>
      <c r="C25" s="15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25" customHeight="1">
      <c r="A26" s="11" t="s">
        <v>36</v>
      </c>
      <c r="B26" s="14">
        <f>COUNTIFS('Bug Log'!$A$7:$A$306,"&lt;&gt;",'Bug Log'!$G$7:$G$306,A26)</f>
        <v>0</v>
      </c>
      <c r="C26" s="15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4.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31" customHeight="1">
      <c r="A28" s="28" t="s">
        <v>37</v>
      </c>
      <c r="B28" s="28"/>
      <c r="C28" s="28"/>
      <c r="D28" s="28"/>
      <c r="E28" s="28"/>
      <c r="F28" s="28"/>
      <c r="G28" s="28" t="s">
        <v>38</v>
      </c>
      <c r="H28" s="28"/>
      <c r="I28" s="28"/>
      <c r="J28" s="28"/>
      <c r="K28" s="28"/>
      <c r="L28" s="28"/>
    </row>
    <row r="29" spans="1:12" ht="14.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14.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4.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4.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4.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4.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14.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ht="14.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14.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4.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4.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4.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ht="14.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ht="14.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14.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14.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14.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14.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31" customHeight="1">
      <c r="A47" s="28" t="s">
        <v>39</v>
      </c>
      <c r="B47" s="28"/>
      <c r="C47" s="28"/>
      <c r="D47" s="28"/>
      <c r="E47" s="11"/>
      <c r="F47" s="28" t="s">
        <v>40</v>
      </c>
      <c r="G47" s="28"/>
      <c r="H47" s="28"/>
      <c r="I47" s="28"/>
      <c r="J47" s="28"/>
      <c r="K47" s="28"/>
      <c r="L47" s="28"/>
    </row>
    <row r="48" spans="1:12" ht="27" customHeight="1">
      <c r="A48" s="12" t="s">
        <v>41</v>
      </c>
      <c r="B48" s="12" t="s">
        <v>42</v>
      </c>
      <c r="C48" s="12" t="s">
        <v>16</v>
      </c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20" customHeight="1">
      <c r="A49" s="11" t="s">
        <v>43</v>
      </c>
      <c r="B49" s="11">
        <f>COUNTIFS('Bug Log'!$A$7:$A$306,"&lt;&gt;",'Bug Log'!$C$7:$C$306,A49)</f>
        <v>0</v>
      </c>
      <c r="C49" s="13">
        <f t="shared" ref="C49:C64" si="1">IFERROR(B49/$A$7,0)</f>
        <v>0</v>
      </c>
      <c r="D49" s="11"/>
      <c r="E49" s="11"/>
      <c r="F49" s="26" t="s">
        <v>44</v>
      </c>
      <c r="G49" s="26"/>
      <c r="H49" s="26"/>
      <c r="I49" s="26"/>
      <c r="J49" s="26"/>
      <c r="K49" s="26"/>
      <c r="L49" s="26"/>
    </row>
    <row r="50" spans="1:12" ht="20" customHeight="1">
      <c r="A50" s="11" t="s">
        <v>45</v>
      </c>
      <c r="B50" s="11">
        <f>COUNTIFS('Bug Log'!$A$7:$A$306,"&lt;&gt;",'Bug Log'!$C$7:$C$306,A50)</f>
        <v>0</v>
      </c>
      <c r="C50" s="13">
        <f t="shared" si="1"/>
        <v>0</v>
      </c>
      <c r="D50" s="11"/>
      <c r="E50" s="11"/>
      <c r="F50" s="26"/>
      <c r="G50" s="26"/>
      <c r="H50" s="26"/>
      <c r="I50" s="26"/>
      <c r="J50" s="26"/>
      <c r="K50" s="26"/>
      <c r="L50" s="26"/>
    </row>
    <row r="51" spans="1:12" ht="24" customHeight="1">
      <c r="A51" s="11" t="s">
        <v>46</v>
      </c>
      <c r="B51" s="11">
        <f>COUNTIFS('Bug Log'!$A$7:$A$306,"&lt;&gt;",'Bug Log'!$C$7:$C$306,A51)</f>
        <v>1</v>
      </c>
      <c r="C51" s="13">
        <f t="shared" si="1"/>
        <v>0.125</v>
      </c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20" customHeight="1">
      <c r="A52" s="11" t="s">
        <v>47</v>
      </c>
      <c r="B52" s="11">
        <f>COUNTIFS('Bug Log'!$A$7:$A$306,"&lt;&gt;",'Bug Log'!$C$7:$C$306,A52)</f>
        <v>0</v>
      </c>
      <c r="C52" s="13">
        <f t="shared" si="1"/>
        <v>0</v>
      </c>
      <c r="D52" s="11"/>
      <c r="E52" s="11"/>
      <c r="F52" s="25" t="s">
        <v>48</v>
      </c>
      <c r="G52" s="25"/>
      <c r="H52" s="25"/>
      <c r="I52" s="25"/>
      <c r="J52" s="25"/>
      <c r="K52" s="25"/>
      <c r="L52" s="25"/>
    </row>
    <row r="53" spans="1:12" ht="20" customHeight="1">
      <c r="A53" s="11" t="s">
        <v>49</v>
      </c>
      <c r="B53" s="11">
        <f>COUNTIFS('Bug Log'!$A$7:$A$306,"&lt;&gt;",'Bug Log'!$C$7:$C$306,A53)</f>
        <v>0</v>
      </c>
      <c r="C53" s="13">
        <f t="shared" si="1"/>
        <v>0</v>
      </c>
      <c r="D53" s="11"/>
      <c r="E53" s="11"/>
      <c r="F53" s="25"/>
      <c r="G53" s="25"/>
      <c r="H53" s="25"/>
      <c r="I53" s="25"/>
      <c r="J53" s="25"/>
      <c r="K53" s="25"/>
      <c r="L53" s="25"/>
    </row>
    <row r="54" spans="1:12" ht="24" customHeight="1">
      <c r="A54" s="11" t="s">
        <v>50</v>
      </c>
      <c r="B54" s="11">
        <f>COUNTIFS('Bug Log'!$A$7:$A$306,"&lt;&gt;",'Bug Log'!$C$7:$C$306,A54)</f>
        <v>2</v>
      </c>
      <c r="C54" s="13">
        <f t="shared" si="1"/>
        <v>0.25</v>
      </c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20" customHeight="1">
      <c r="A55" s="11" t="s">
        <v>51</v>
      </c>
      <c r="B55" s="11">
        <f>COUNTIFS('Bug Log'!$A$7:$A$306,"&lt;&gt;",'Bug Log'!$C$7:$C$306,A55)</f>
        <v>3</v>
      </c>
      <c r="C55" s="13">
        <f t="shared" si="1"/>
        <v>0.375</v>
      </c>
      <c r="D55" s="11"/>
      <c r="E55" s="11"/>
      <c r="F55" s="26" t="s">
        <v>52</v>
      </c>
      <c r="G55" s="26"/>
      <c r="H55" s="26"/>
      <c r="I55" s="26"/>
      <c r="J55" s="26"/>
      <c r="K55" s="26"/>
      <c r="L55" s="26"/>
    </row>
    <row r="56" spans="1:12" ht="20" customHeight="1">
      <c r="A56" s="11" t="s">
        <v>53</v>
      </c>
      <c r="B56" s="11">
        <f>COUNTIFS('Bug Log'!$A$7:$A$306,"&lt;&gt;",'Bug Log'!$C$7:$C$306,A56)</f>
        <v>0</v>
      </c>
      <c r="C56" s="13">
        <f t="shared" si="1"/>
        <v>0</v>
      </c>
      <c r="D56" s="11"/>
      <c r="E56" s="11"/>
      <c r="F56" s="26"/>
      <c r="G56" s="26"/>
      <c r="H56" s="26"/>
      <c r="I56" s="26"/>
      <c r="J56" s="26"/>
      <c r="K56" s="26"/>
      <c r="L56" s="26"/>
    </row>
    <row r="57" spans="1:12" ht="24" customHeight="1">
      <c r="A57" s="11" t="s">
        <v>54</v>
      </c>
      <c r="B57" s="11">
        <f>COUNTIFS('Bug Log'!$A$7:$A$306,"&lt;&gt;",'Bug Log'!$C$7:$C$306,A57)</f>
        <v>1</v>
      </c>
      <c r="C57" s="13">
        <f t="shared" si="1"/>
        <v>0.125</v>
      </c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20" customHeight="1">
      <c r="A58" s="11" t="s">
        <v>55</v>
      </c>
      <c r="B58" s="11">
        <f>COUNTIFS('Bug Log'!$A$7:$A$306,"&lt;&gt;",'Bug Log'!$C$7:$C$306,A58)</f>
        <v>0</v>
      </c>
      <c r="C58" s="13">
        <f t="shared" si="1"/>
        <v>0</v>
      </c>
      <c r="D58" s="11"/>
      <c r="E58" s="11"/>
      <c r="F58" s="25" t="s">
        <v>56</v>
      </c>
      <c r="G58" s="25"/>
      <c r="H58" s="25"/>
      <c r="I58" s="25"/>
      <c r="J58" s="25"/>
      <c r="K58" s="25"/>
      <c r="L58" s="25"/>
    </row>
    <row r="59" spans="1:12" ht="20" customHeight="1">
      <c r="A59" s="11" t="s">
        <v>57</v>
      </c>
      <c r="B59" s="11">
        <f>COUNTIFS('Bug Log'!$A$7:$A$306,"&lt;&gt;",'Bug Log'!$C$7:$C$306,A59)</f>
        <v>0</v>
      </c>
      <c r="C59" s="13">
        <f t="shared" si="1"/>
        <v>0</v>
      </c>
      <c r="D59" s="11"/>
      <c r="E59" s="11"/>
      <c r="F59" s="25"/>
      <c r="G59" s="25"/>
      <c r="H59" s="25"/>
      <c r="I59" s="25"/>
      <c r="J59" s="25"/>
      <c r="K59" s="25"/>
      <c r="L59" s="25"/>
    </row>
    <row r="60" spans="1:12" ht="24" customHeight="1">
      <c r="A60" s="11" t="s">
        <v>58</v>
      </c>
      <c r="B60" s="11">
        <f>COUNTIFS('Bug Log'!$A$7:$A$306,"&lt;&gt;",'Bug Log'!$C$7:$C$306,A60)</f>
        <v>0</v>
      </c>
      <c r="C60" s="13">
        <f t="shared" si="1"/>
        <v>0</v>
      </c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20" customHeight="1">
      <c r="A61" s="11" t="s">
        <v>59</v>
      </c>
      <c r="B61" s="11">
        <f>COUNTIFS('Bug Log'!$A$7:$A$306,"&lt;&gt;",'Bug Log'!$C$7:$C$306,A61)</f>
        <v>0</v>
      </c>
      <c r="C61" s="13">
        <f t="shared" si="1"/>
        <v>0</v>
      </c>
      <c r="D61" s="11"/>
      <c r="E61" s="11"/>
      <c r="F61" s="26" t="s">
        <v>60</v>
      </c>
      <c r="G61" s="26"/>
      <c r="H61" s="26"/>
      <c r="I61" s="26"/>
      <c r="J61" s="26"/>
      <c r="K61" s="26"/>
      <c r="L61" s="26"/>
    </row>
    <row r="62" spans="1:12" ht="20" customHeight="1">
      <c r="A62" s="11" t="s">
        <v>61</v>
      </c>
      <c r="B62" s="11">
        <f>COUNTIFS('Bug Log'!$A$7:$A$306,"&lt;&gt;",'Bug Log'!$C$7:$C$306,A62)</f>
        <v>0</v>
      </c>
      <c r="C62" s="13">
        <f t="shared" si="1"/>
        <v>0</v>
      </c>
      <c r="D62" s="11"/>
      <c r="E62" s="11"/>
      <c r="F62" s="26"/>
      <c r="G62" s="26"/>
      <c r="H62" s="26"/>
      <c r="I62" s="26"/>
      <c r="J62" s="26"/>
      <c r="K62" s="26"/>
      <c r="L62" s="26"/>
    </row>
    <row r="63" spans="1:12" ht="24" customHeight="1">
      <c r="A63" s="11" t="s">
        <v>62</v>
      </c>
      <c r="B63" s="11">
        <f>COUNTIFS('Bug Log'!$A$7:$A$306,"&lt;&gt;",'Bug Log'!$C$7:$C$306,A63)</f>
        <v>0</v>
      </c>
      <c r="C63" s="13">
        <f t="shared" si="1"/>
        <v>0</v>
      </c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20" customHeight="1">
      <c r="A64" s="11" t="s">
        <v>63</v>
      </c>
      <c r="B64" s="11">
        <f>COUNTIFS('Bug Log'!$A$7:$A$306,"&lt;&gt;",'Bug Log'!$C$7:$C$306,A64)</f>
        <v>1</v>
      </c>
      <c r="C64" s="13">
        <f t="shared" si="1"/>
        <v>0.125</v>
      </c>
      <c r="D64" s="11"/>
      <c r="E64" s="11"/>
      <c r="F64" s="27" t="s">
        <v>64</v>
      </c>
      <c r="G64" s="27"/>
      <c r="H64" s="27"/>
      <c r="I64" s="27"/>
      <c r="J64" s="27"/>
      <c r="K64" s="27"/>
      <c r="L64" s="27"/>
    </row>
    <row r="65" spans="1:12" ht="20" customHeight="1">
      <c r="A65" s="11"/>
      <c r="B65" s="11"/>
      <c r="C65" s="11"/>
      <c r="D65" s="11"/>
      <c r="E65" s="11"/>
      <c r="F65" s="27"/>
      <c r="G65" s="27"/>
      <c r="H65" s="27"/>
      <c r="I65" s="27"/>
      <c r="J65" s="27"/>
      <c r="K65" s="27"/>
      <c r="L65" s="27"/>
    </row>
    <row r="66" spans="1:12" ht="14.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ht="14.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</sheetData>
  <mergeCells count="32">
    <mergeCell ref="A1:L2"/>
    <mergeCell ref="A3:L3"/>
    <mergeCell ref="A4:L4"/>
    <mergeCell ref="A6:C6"/>
    <mergeCell ref="A7:C9"/>
    <mergeCell ref="D6:F6"/>
    <mergeCell ref="D7:F9"/>
    <mergeCell ref="G6:I6"/>
    <mergeCell ref="G7:I9"/>
    <mergeCell ref="J6:L6"/>
    <mergeCell ref="J7:L9"/>
    <mergeCell ref="J11:L11"/>
    <mergeCell ref="J12:L14"/>
    <mergeCell ref="A16:D16"/>
    <mergeCell ref="F16:I16"/>
    <mergeCell ref="J16:L16"/>
    <mergeCell ref="A11:C11"/>
    <mergeCell ref="A12:C14"/>
    <mergeCell ref="D11:F11"/>
    <mergeCell ref="D12:F14"/>
    <mergeCell ref="G11:I11"/>
    <mergeCell ref="G12:I14"/>
    <mergeCell ref="A28:F28"/>
    <mergeCell ref="G28:L28"/>
    <mergeCell ref="A47:D47"/>
    <mergeCell ref="F47:L47"/>
    <mergeCell ref="F49:L50"/>
    <mergeCell ref="F52:L53"/>
    <mergeCell ref="F55:L56"/>
    <mergeCell ref="F58:L59"/>
    <mergeCell ref="F61:L62"/>
    <mergeCell ref="F64:L65"/>
  </mergeCells>
  <conditionalFormatting sqref="A18:A26">
    <cfRule type="expression" dxfId="19" priority="4">
      <formula>A18="Closed"</formula>
    </cfRule>
    <cfRule type="expression" dxfId="18" priority="5">
      <formula>A18="Reopened"</formula>
    </cfRule>
  </conditionalFormatting>
  <conditionalFormatting sqref="B49:B64">
    <cfRule type="dataBar" priority="8">
      <dataBar>
        <cfvo type="min"/>
        <cfvo type="max"/>
        <color rgb="FF55A8DD"/>
      </dataBar>
    </cfRule>
    <cfRule type="dataBar" priority="12">
      <dataBar>
        <cfvo type="min"/>
        <cfvo type="max"/>
        <color rgb="FF55A8DD"/>
      </dataBar>
      <extLst>
        <ext xmlns:x14="http://schemas.microsoft.com/office/spreadsheetml/2009/9/main" uri="{B025F937-C7B1-47D3-B67F-A62EFF666E3E}">
          <x14:id>{DB091E20-19F2-B742-A9FC-8B049DFBD9A0}</x14:id>
        </ext>
      </extLst>
    </cfRule>
  </conditionalFormatting>
  <conditionalFormatting sqref="C18:C26">
    <cfRule type="dataBar" priority="1">
      <dataBar>
        <cfvo type="min"/>
        <cfvo type="max"/>
        <color rgb="FF7AB9EE"/>
      </dataBar>
    </cfRule>
    <cfRule type="dataBar" priority="9">
      <dataBar>
        <cfvo type="min"/>
        <cfvo type="max"/>
        <color rgb="FF7AB9EE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F18:F22">
    <cfRule type="expression" dxfId="17" priority="6">
      <formula>F18="Blocker"</formula>
    </cfRule>
    <cfRule type="expression" dxfId="16" priority="7">
      <formula>F18="Critical"</formula>
    </cfRule>
  </conditionalFormatting>
  <conditionalFormatting sqref="H18:H22">
    <cfRule type="dataBar" priority="2">
      <dataBar>
        <cfvo type="min"/>
        <cfvo type="max"/>
        <color rgb="FFFFB27D"/>
      </dataBar>
    </cfRule>
    <cfRule type="dataBar" priority="10">
      <dataBar>
        <cfvo type="min"/>
        <cfvo type="max"/>
        <color rgb="FFFFB27D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L18:L21">
    <cfRule type="dataBar" priority="3">
      <dataBar>
        <cfvo type="min"/>
        <cfvo type="max"/>
        <color rgb="FF6ED9C6"/>
      </dataBar>
    </cfRule>
    <cfRule type="dataBar" priority="11">
      <dataBar>
        <cfvo type="min"/>
        <cfvo type="max"/>
        <color rgb="FF6ED9C6"/>
      </dataBar>
      <extLst>
        <ext xmlns:x14="http://schemas.microsoft.com/office/spreadsheetml/2009/9/main" uri="{B025F937-C7B1-47D3-B67F-A62EFF666E3E}">
          <x14:id>{C5593AA7-0028-5BEA-E3E0-8178783C1A47}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091E20-19F2-B742-A9FC-8B049DFBD9A0}">
            <x14:dataBar>
              <x14:cfvo type="min"/>
              <x14:cfvo type="max"/>
              <x14:negativeFillColor auto="1"/>
              <x14:axisColor auto="1"/>
            </x14:dataBar>
          </x14:cfRule>
          <xm:sqref>B49:B64</xm:sqref>
        </x14:conditionalFormatting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C18:C26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H18:H22</xm:sqref>
        </x14:conditionalFormatting>
        <x14:conditionalFormatting xmlns:xm="http://schemas.microsoft.com/office/excel/2006/main">
          <x14:cfRule type="dataBar" id="{C5593AA7-0028-5BEA-E3E0-8178783C1A47}">
            <x14:dataBar>
              <x14:cfvo type="min"/>
              <x14:cfvo type="max"/>
              <x14:negativeFillColor auto="1"/>
              <x14:axisColor auto="1"/>
            </x14:dataBar>
          </x14:cfRule>
          <xm:sqref>L18:L21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6"/>
  <sheetViews>
    <sheetView tabSelected="1" zoomScale="70" zoomScaleNormal="70" workbookViewId="0">
      <pane ySplit="6" topLeftCell="A10" activePane="bottomLeft" state="frozen"/>
      <selection pane="bottomLeft" activeCell="H13" sqref="H13:H14"/>
    </sheetView>
  </sheetViews>
  <sheetFormatPr defaultRowHeight="14"/>
  <cols>
    <col min="1" max="1" width="15" customWidth="1"/>
    <col min="2" max="2" width="45" customWidth="1"/>
    <col min="3" max="3" width="24" customWidth="1"/>
    <col min="4" max="4" width="19" customWidth="1"/>
    <col min="5" max="5" width="14" customWidth="1"/>
    <col min="6" max="6" width="21" customWidth="1"/>
    <col min="7" max="7" width="18" customWidth="1"/>
    <col min="8" max="8" width="16" customWidth="1"/>
    <col min="9" max="9" width="28" customWidth="1"/>
    <col min="10" max="11" width="20" customWidth="1"/>
    <col min="12" max="16" width="17" customWidth="1"/>
    <col min="17" max="17" width="18" customWidth="1"/>
    <col min="18" max="18" width="17" customWidth="1"/>
    <col min="19" max="19" width="46" customWidth="1"/>
    <col min="20" max="21" width="43" customWidth="1"/>
    <col min="22" max="22" width="39" customWidth="1"/>
    <col min="23" max="23" width="32" customWidth="1"/>
    <col min="24" max="24" width="38" customWidth="1"/>
    <col min="25" max="25" width="41" customWidth="1"/>
  </cols>
  <sheetData>
    <row r="1" spans="1:25" ht="25" customHeight="1">
      <c r="A1" s="22" t="s">
        <v>65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27" customHeight="1">
      <c r="A3" s="23" t="s">
        <v>66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30" customHeight="1">
      <c r="A4" s="24" t="s">
        <v>67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6" spans="1:25" ht="39" customHeight="1">
      <c r="A6" s="3" t="s">
        <v>68</v>
      </c>
      <c r="B6" s="3" t="s">
        <v>69</v>
      </c>
      <c r="C6" s="3" t="s">
        <v>41</v>
      </c>
      <c r="D6" s="3" t="s">
        <v>70</v>
      </c>
      <c r="E6" s="3" t="s">
        <v>17</v>
      </c>
      <c r="F6" s="3" t="s">
        <v>18</v>
      </c>
      <c r="G6" s="3" t="s">
        <v>14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76</v>
      </c>
      <c r="N6" s="3" t="s">
        <v>77</v>
      </c>
      <c r="O6" s="3" t="s">
        <v>78</v>
      </c>
      <c r="P6" s="3" t="s">
        <v>79</v>
      </c>
      <c r="Q6" s="3" t="s">
        <v>80</v>
      </c>
      <c r="R6" s="3" t="s">
        <v>81</v>
      </c>
      <c r="S6" s="3" t="s">
        <v>82</v>
      </c>
      <c r="T6" s="3" t="s">
        <v>83</v>
      </c>
      <c r="U6" s="3" t="s">
        <v>84</v>
      </c>
      <c r="V6" s="3" t="s">
        <v>85</v>
      </c>
      <c r="W6" s="3" t="s">
        <v>86</v>
      </c>
      <c r="X6" s="3" t="s">
        <v>87</v>
      </c>
      <c r="Y6" s="3" t="s">
        <v>88</v>
      </c>
    </row>
    <row r="7" spans="1:25" ht="28" customHeight="1">
      <c r="A7" s="2" t="s">
        <v>184</v>
      </c>
      <c r="B7" s="4" t="s">
        <v>185</v>
      </c>
      <c r="C7" s="2" t="s">
        <v>50</v>
      </c>
      <c r="D7" s="2" t="s">
        <v>186</v>
      </c>
      <c r="E7" s="2" t="s">
        <v>29</v>
      </c>
      <c r="F7" s="2" t="s">
        <v>30</v>
      </c>
      <c r="G7" s="2" t="s">
        <v>22</v>
      </c>
      <c r="H7" s="2" t="s">
        <v>104</v>
      </c>
      <c r="I7" s="2"/>
      <c r="J7" s="2" t="s">
        <v>187</v>
      </c>
      <c r="K7" s="2"/>
      <c r="L7" s="5">
        <v>46313</v>
      </c>
      <c r="M7" s="5">
        <v>46313</v>
      </c>
      <c r="N7" s="5"/>
      <c r="O7" s="5"/>
      <c r="P7" s="7">
        <f t="shared" ref="P7:P70" ca="1" si="0">IF(A7="","",IF(L7="","",MAX(0,IF(O7&lt;&gt;"",O7,TODAY())-L7)))</f>
        <v>7</v>
      </c>
      <c r="Q7" s="8" t="str">
        <f t="shared" ref="Q7:Q70" ca="1" si="1">IF(A7="","",IF(OR(G7="Closed",G7="Duplicate",G7="Won't Fix"),"Hoàn tất",IF(M7="","Chưa đặt hạn",IF(TODAY()&gt;M7,"Quá hạn",IF(TODAY()=M7,"Đến hạn","Trong hạn")))))</f>
        <v>Quá hạn</v>
      </c>
      <c r="R7" s="6"/>
      <c r="S7" s="4" t="s">
        <v>188</v>
      </c>
      <c r="T7" s="4" t="s">
        <v>189</v>
      </c>
      <c r="U7" s="4">
        <v>403</v>
      </c>
      <c r="V7" s="2"/>
      <c r="W7" s="2"/>
      <c r="X7" s="4"/>
      <c r="Y7" s="4"/>
    </row>
    <row r="8" spans="1:25" ht="28" customHeight="1">
      <c r="A8" s="2" t="s">
        <v>190</v>
      </c>
      <c r="B8" s="4" t="s">
        <v>191</v>
      </c>
      <c r="C8" s="2" t="s">
        <v>50</v>
      </c>
      <c r="D8" s="2" t="s">
        <v>103</v>
      </c>
      <c r="E8" s="2" t="s">
        <v>23</v>
      </c>
      <c r="F8" s="2" t="s">
        <v>24</v>
      </c>
      <c r="G8" s="2" t="s">
        <v>19</v>
      </c>
      <c r="H8" s="2" t="s">
        <v>104</v>
      </c>
      <c r="I8" s="2"/>
      <c r="J8" s="2" t="s">
        <v>187</v>
      </c>
      <c r="K8" s="2"/>
      <c r="L8" s="5">
        <v>46313</v>
      </c>
      <c r="M8" s="5">
        <v>46313</v>
      </c>
      <c r="N8" s="5"/>
      <c r="O8" s="5"/>
      <c r="P8" s="7">
        <f t="shared" ca="1" si="0"/>
        <v>7</v>
      </c>
      <c r="Q8" s="8" t="str">
        <f t="shared" ca="1" si="1"/>
        <v>Quá hạn</v>
      </c>
      <c r="R8" s="6"/>
      <c r="S8" s="4"/>
      <c r="T8" s="4"/>
      <c r="U8" s="4"/>
      <c r="V8" s="2"/>
      <c r="W8" s="2"/>
      <c r="X8" s="4"/>
      <c r="Y8" s="4"/>
    </row>
    <row r="9" spans="1:25" ht="28" customHeight="1">
      <c r="A9" s="2" t="s">
        <v>192</v>
      </c>
      <c r="B9" s="4" t="s">
        <v>194</v>
      </c>
      <c r="C9" s="2" t="s">
        <v>54</v>
      </c>
      <c r="D9" s="2" t="s">
        <v>193</v>
      </c>
      <c r="E9" s="2" t="s">
        <v>29</v>
      </c>
      <c r="F9" s="2" t="s">
        <v>30</v>
      </c>
      <c r="G9" s="2" t="s">
        <v>22</v>
      </c>
      <c r="H9" s="2" t="s">
        <v>104</v>
      </c>
      <c r="I9" s="2"/>
      <c r="J9" s="2" t="s">
        <v>187</v>
      </c>
      <c r="K9" s="2"/>
      <c r="L9" s="5">
        <v>46313</v>
      </c>
      <c r="M9" s="5"/>
      <c r="N9" s="5"/>
      <c r="O9" s="5"/>
      <c r="P9" s="7">
        <f t="shared" ca="1" si="0"/>
        <v>7</v>
      </c>
      <c r="Q9" s="8" t="str">
        <f t="shared" ca="1" si="1"/>
        <v>Chưa đặt hạn</v>
      </c>
      <c r="R9" s="6"/>
      <c r="S9" s="4"/>
      <c r="T9" s="4"/>
      <c r="U9" s="4"/>
      <c r="V9" s="2"/>
      <c r="W9" s="2"/>
      <c r="X9" s="4"/>
      <c r="Y9" s="4"/>
    </row>
    <row r="10" spans="1:25" ht="28" customHeight="1">
      <c r="A10" s="2" t="s">
        <v>195</v>
      </c>
      <c r="B10" s="4" t="s">
        <v>196</v>
      </c>
      <c r="C10" s="2" t="s">
        <v>46</v>
      </c>
      <c r="D10" s="2" t="s">
        <v>61</v>
      </c>
      <c r="E10" s="2" t="s">
        <v>29</v>
      </c>
      <c r="F10" s="2" t="s">
        <v>27</v>
      </c>
      <c r="G10" s="2" t="s">
        <v>19</v>
      </c>
      <c r="H10" s="2" t="s">
        <v>104</v>
      </c>
      <c r="I10" s="2"/>
      <c r="J10" s="2" t="s">
        <v>187</v>
      </c>
      <c r="K10" s="2"/>
      <c r="L10" s="5"/>
      <c r="M10" s="5"/>
      <c r="N10" s="5"/>
      <c r="O10" s="5"/>
      <c r="P10" s="7" t="str">
        <f t="shared" ca="1" si="0"/>
        <v/>
      </c>
      <c r="Q10" s="8" t="str">
        <f t="shared" ca="1" si="1"/>
        <v>Chưa đặt hạn</v>
      </c>
      <c r="R10" s="6"/>
      <c r="S10" s="4"/>
      <c r="T10" s="4"/>
      <c r="U10" s="4"/>
      <c r="V10" s="2"/>
      <c r="W10" s="2"/>
      <c r="X10" s="4"/>
      <c r="Y10" s="4"/>
    </row>
    <row r="11" spans="1:25" ht="28" customHeight="1">
      <c r="A11" s="2" t="s">
        <v>197</v>
      </c>
      <c r="B11" s="4" t="s">
        <v>198</v>
      </c>
      <c r="C11" s="2" t="s">
        <v>51</v>
      </c>
      <c r="D11" s="2" t="s">
        <v>103</v>
      </c>
      <c r="E11" s="2" t="s">
        <v>26</v>
      </c>
      <c r="F11" s="2" t="s">
        <v>27</v>
      </c>
      <c r="G11" s="2" t="s">
        <v>19</v>
      </c>
      <c r="H11" s="2" t="s">
        <v>104</v>
      </c>
      <c r="I11" s="2"/>
      <c r="J11" s="2"/>
      <c r="K11" s="2"/>
      <c r="L11" s="5"/>
      <c r="M11" s="5"/>
      <c r="N11" s="5"/>
      <c r="O11" s="5"/>
      <c r="P11" s="7" t="str">
        <f t="shared" ca="1" si="0"/>
        <v/>
      </c>
      <c r="Q11" s="8" t="str">
        <f t="shared" ca="1" si="1"/>
        <v>Chưa đặt hạn</v>
      </c>
      <c r="R11" s="6"/>
      <c r="S11" s="4"/>
      <c r="T11" s="4"/>
      <c r="U11" s="4"/>
      <c r="V11" s="2"/>
      <c r="W11" s="2"/>
      <c r="X11" s="4"/>
      <c r="Y11" s="4"/>
    </row>
    <row r="12" spans="1:25" ht="28" customHeight="1">
      <c r="A12" s="2" t="s">
        <v>197</v>
      </c>
      <c r="B12" s="21" t="s">
        <v>199</v>
      </c>
      <c r="C12" s="2" t="s">
        <v>51</v>
      </c>
      <c r="D12" s="2" t="s">
        <v>103</v>
      </c>
      <c r="E12" s="2" t="s">
        <v>23</v>
      </c>
      <c r="F12" s="2" t="s">
        <v>24</v>
      </c>
      <c r="G12" s="2" t="s">
        <v>19</v>
      </c>
      <c r="H12" s="2" t="s">
        <v>104</v>
      </c>
      <c r="I12" s="2"/>
      <c r="J12" s="2"/>
      <c r="K12" s="2"/>
      <c r="L12" s="5"/>
      <c r="M12" s="5"/>
      <c r="N12" s="5"/>
      <c r="O12" s="5"/>
      <c r="P12" s="7" t="str">
        <f t="shared" ca="1" si="0"/>
        <v/>
      </c>
      <c r="Q12" s="8" t="str">
        <f t="shared" ca="1" si="1"/>
        <v>Chưa đặt hạn</v>
      </c>
      <c r="R12" s="6"/>
      <c r="S12" s="4"/>
      <c r="T12" s="4"/>
      <c r="U12" s="4"/>
      <c r="V12" s="2"/>
      <c r="W12" s="2"/>
      <c r="X12" s="4"/>
      <c r="Y12" s="4"/>
    </row>
    <row r="13" spans="1:25" ht="28" customHeight="1">
      <c r="A13" s="2" t="s">
        <v>200</v>
      </c>
      <c r="B13" s="4" t="s">
        <v>201</v>
      </c>
      <c r="C13" s="2" t="s">
        <v>51</v>
      </c>
      <c r="D13" s="2" t="s">
        <v>61</v>
      </c>
      <c r="E13" s="2" t="s">
        <v>29</v>
      </c>
      <c r="F13" s="2" t="s">
        <v>27</v>
      </c>
      <c r="G13" s="2" t="s">
        <v>19</v>
      </c>
      <c r="H13" s="2" t="s">
        <v>104</v>
      </c>
      <c r="I13" s="2"/>
      <c r="J13" s="2"/>
      <c r="K13" s="2"/>
      <c r="L13" s="5"/>
      <c r="M13" s="5"/>
      <c r="N13" s="5"/>
      <c r="O13" s="5"/>
      <c r="P13" s="7" t="str">
        <f t="shared" ca="1" si="0"/>
        <v/>
      </c>
      <c r="Q13" s="8" t="str">
        <f t="shared" ca="1" si="1"/>
        <v>Chưa đặt hạn</v>
      </c>
      <c r="R13" s="6"/>
      <c r="S13" s="4"/>
      <c r="T13" s="4"/>
      <c r="U13" s="4"/>
      <c r="V13" s="2"/>
      <c r="W13" s="2"/>
      <c r="X13" s="4"/>
      <c r="Y13" s="4"/>
    </row>
    <row r="14" spans="1:25" ht="28" customHeight="1">
      <c r="A14" s="2" t="s">
        <v>202</v>
      </c>
      <c r="B14" s="4" t="s">
        <v>203</v>
      </c>
      <c r="C14" s="2" t="s">
        <v>63</v>
      </c>
      <c r="D14" s="2" t="s">
        <v>112</v>
      </c>
      <c r="E14" s="2" t="s">
        <v>20</v>
      </c>
      <c r="F14" s="2" t="s">
        <v>21</v>
      </c>
      <c r="G14" s="2" t="s">
        <v>19</v>
      </c>
      <c r="H14" s="2" t="s">
        <v>104</v>
      </c>
      <c r="I14" s="2"/>
      <c r="J14" s="2"/>
      <c r="K14" s="2"/>
      <c r="L14" s="5"/>
      <c r="M14" s="5"/>
      <c r="N14" s="5"/>
      <c r="O14" s="5"/>
      <c r="P14" s="7" t="str">
        <f t="shared" ca="1" si="0"/>
        <v/>
      </c>
      <c r="Q14" s="8" t="str">
        <f t="shared" ca="1" si="1"/>
        <v>Chưa đặt hạn</v>
      </c>
      <c r="R14" s="6"/>
      <c r="S14" s="4"/>
      <c r="T14" s="4"/>
      <c r="U14" s="4"/>
      <c r="V14" s="2"/>
      <c r="W14" s="2"/>
      <c r="X14" s="4"/>
      <c r="Y14" s="4"/>
    </row>
    <row r="15" spans="1:25" ht="28" customHeight="1">
      <c r="A15" s="2"/>
      <c r="B15" s="4"/>
      <c r="C15" s="2"/>
      <c r="D15" s="2"/>
      <c r="E15" s="2"/>
      <c r="F15" s="2"/>
      <c r="G15" s="2"/>
      <c r="H15" s="2"/>
      <c r="I15" s="2"/>
      <c r="J15" s="2"/>
      <c r="K15" s="2"/>
      <c r="L15" s="5"/>
      <c r="M15" s="5"/>
      <c r="N15" s="5"/>
      <c r="O15" s="5"/>
      <c r="P15" s="7" t="str">
        <f t="shared" ca="1" si="0"/>
        <v/>
      </c>
      <c r="Q15" s="8" t="str">
        <f t="shared" ca="1" si="1"/>
        <v/>
      </c>
      <c r="R15" s="6"/>
      <c r="S15" s="4"/>
      <c r="T15" s="4"/>
      <c r="U15" s="4"/>
      <c r="V15" s="2"/>
      <c r="W15" s="2"/>
      <c r="X15" s="4"/>
      <c r="Y15" s="4"/>
    </row>
    <row r="16" spans="1:25" ht="28" customHeight="1">
      <c r="A16" s="2"/>
      <c r="B16" s="4"/>
      <c r="C16" s="2"/>
      <c r="D16" s="2"/>
      <c r="E16" s="2"/>
      <c r="F16" s="2"/>
      <c r="G16" s="2"/>
      <c r="H16" s="2"/>
      <c r="I16" s="2"/>
      <c r="J16" s="2"/>
      <c r="K16" s="2"/>
      <c r="L16" s="5"/>
      <c r="M16" s="5"/>
      <c r="N16" s="5"/>
      <c r="O16" s="5"/>
      <c r="P16" s="7" t="str">
        <f t="shared" ca="1" si="0"/>
        <v/>
      </c>
      <c r="Q16" s="8" t="str">
        <f t="shared" ca="1" si="1"/>
        <v/>
      </c>
      <c r="R16" s="6"/>
      <c r="S16" s="4"/>
      <c r="T16" s="4"/>
      <c r="U16" s="4"/>
      <c r="V16" s="2"/>
      <c r="W16" s="2"/>
      <c r="X16" s="4"/>
      <c r="Y16" s="4"/>
    </row>
    <row r="17" spans="1:25" ht="28" customHeight="1">
      <c r="A17" s="2"/>
      <c r="B17" s="4"/>
      <c r="C17" s="2"/>
      <c r="D17" s="2"/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7" t="str">
        <f t="shared" ca="1" si="0"/>
        <v/>
      </c>
      <c r="Q17" s="8" t="str">
        <f t="shared" ca="1" si="1"/>
        <v/>
      </c>
      <c r="R17" s="6"/>
      <c r="S17" s="4"/>
      <c r="T17" s="4"/>
      <c r="U17" s="4"/>
      <c r="V17" s="2"/>
      <c r="W17" s="2"/>
      <c r="X17" s="4"/>
      <c r="Y17" s="4"/>
    </row>
    <row r="18" spans="1:25" ht="28" customHeight="1">
      <c r="A18" s="2"/>
      <c r="B18" s="4"/>
      <c r="C18" s="2"/>
      <c r="D18" s="2"/>
      <c r="E18" s="2"/>
      <c r="F18" s="2"/>
      <c r="G18" s="2"/>
      <c r="H18" s="2"/>
      <c r="I18" s="2"/>
      <c r="J18" s="2"/>
      <c r="K18" s="2"/>
      <c r="L18" s="5"/>
      <c r="M18" s="5"/>
      <c r="N18" s="5"/>
      <c r="O18" s="5"/>
      <c r="P18" s="7" t="str">
        <f t="shared" ca="1" si="0"/>
        <v/>
      </c>
      <c r="Q18" s="8" t="str">
        <f t="shared" ca="1" si="1"/>
        <v/>
      </c>
      <c r="R18" s="6"/>
      <c r="S18" s="4"/>
      <c r="T18" s="4"/>
      <c r="U18" s="4"/>
      <c r="V18" s="2"/>
      <c r="W18" s="2"/>
      <c r="X18" s="4"/>
      <c r="Y18" s="4"/>
    </row>
    <row r="19" spans="1:25" ht="28" customHeight="1">
      <c r="A19" s="2"/>
      <c r="B19" s="4"/>
      <c r="C19" s="2"/>
      <c r="D19" s="2"/>
      <c r="E19" s="2"/>
      <c r="F19" s="2"/>
      <c r="G19" s="2"/>
      <c r="H19" s="2"/>
      <c r="I19" s="2"/>
      <c r="J19" s="2"/>
      <c r="K19" s="2"/>
      <c r="L19" s="5"/>
      <c r="M19" s="5"/>
      <c r="N19" s="5"/>
      <c r="O19" s="5"/>
      <c r="P19" s="7" t="str">
        <f t="shared" ca="1" si="0"/>
        <v/>
      </c>
      <c r="Q19" s="8" t="str">
        <f t="shared" ca="1" si="1"/>
        <v/>
      </c>
      <c r="R19" s="6"/>
      <c r="S19" s="4"/>
      <c r="T19" s="4"/>
      <c r="U19" s="4"/>
      <c r="V19" s="2"/>
      <c r="W19" s="2"/>
      <c r="X19" s="4"/>
      <c r="Y19" s="4"/>
    </row>
    <row r="20" spans="1:25" ht="28" customHeight="1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  <c r="L20" s="5"/>
      <c r="M20" s="5"/>
      <c r="N20" s="5"/>
      <c r="O20" s="5"/>
      <c r="P20" s="7" t="str">
        <f t="shared" ca="1" si="0"/>
        <v/>
      </c>
      <c r="Q20" s="8" t="str">
        <f t="shared" ca="1" si="1"/>
        <v/>
      </c>
      <c r="R20" s="6"/>
      <c r="S20" s="4"/>
      <c r="T20" s="4"/>
      <c r="U20" s="4"/>
      <c r="V20" s="2"/>
      <c r="W20" s="2"/>
      <c r="X20" s="4"/>
      <c r="Y20" s="4"/>
    </row>
    <row r="21" spans="1:25" ht="28" customHeight="1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  <c r="L21" s="5"/>
      <c r="M21" s="5"/>
      <c r="N21" s="5"/>
      <c r="O21" s="5"/>
      <c r="P21" s="7" t="str">
        <f t="shared" ca="1" si="0"/>
        <v/>
      </c>
      <c r="Q21" s="8" t="str">
        <f t="shared" ca="1" si="1"/>
        <v/>
      </c>
      <c r="R21" s="6"/>
      <c r="S21" s="4"/>
      <c r="T21" s="4"/>
      <c r="U21" s="4"/>
      <c r="V21" s="2"/>
      <c r="W21" s="2"/>
      <c r="X21" s="4"/>
      <c r="Y21" s="4"/>
    </row>
    <row r="22" spans="1:25" ht="28" customHeight="1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  <c r="L22" s="5"/>
      <c r="M22" s="5"/>
      <c r="N22" s="5"/>
      <c r="O22" s="5"/>
      <c r="P22" s="7" t="str">
        <f t="shared" ca="1" si="0"/>
        <v/>
      </c>
      <c r="Q22" s="8" t="str">
        <f t="shared" ca="1" si="1"/>
        <v/>
      </c>
      <c r="R22" s="6"/>
      <c r="S22" s="4"/>
      <c r="T22" s="4"/>
      <c r="U22" s="4"/>
      <c r="V22" s="2"/>
      <c r="W22" s="2"/>
      <c r="X22" s="4"/>
      <c r="Y22" s="4"/>
    </row>
    <row r="23" spans="1:25" ht="28" customHeight="1">
      <c r="A23" s="2"/>
      <c r="B23" s="4"/>
      <c r="C23" s="2"/>
      <c r="D23" s="2"/>
      <c r="E23" s="2"/>
      <c r="F23" s="2"/>
      <c r="G23" s="2"/>
      <c r="H23" s="2"/>
      <c r="I23" s="2"/>
      <c r="J23" s="2"/>
      <c r="K23" s="2"/>
      <c r="L23" s="5"/>
      <c r="M23" s="5"/>
      <c r="N23" s="5"/>
      <c r="O23" s="5"/>
      <c r="P23" s="7" t="str">
        <f t="shared" ca="1" si="0"/>
        <v/>
      </c>
      <c r="Q23" s="8" t="str">
        <f t="shared" ca="1" si="1"/>
        <v/>
      </c>
      <c r="R23" s="6"/>
      <c r="S23" s="4"/>
      <c r="T23" s="4"/>
      <c r="U23" s="4"/>
      <c r="V23" s="2"/>
      <c r="W23" s="2"/>
      <c r="X23" s="4"/>
      <c r="Y23" s="4"/>
    </row>
    <row r="24" spans="1:25" ht="28" customHeight="1">
      <c r="A24" s="2"/>
      <c r="B24" s="4"/>
      <c r="C24" s="2"/>
      <c r="D24" s="2"/>
      <c r="E24" s="2"/>
      <c r="F24" s="2"/>
      <c r="G24" s="2"/>
      <c r="H24" s="2"/>
      <c r="I24" s="2"/>
      <c r="J24" s="2"/>
      <c r="K24" s="2"/>
      <c r="L24" s="5"/>
      <c r="M24" s="5"/>
      <c r="N24" s="5"/>
      <c r="O24" s="5"/>
      <c r="P24" s="7" t="str">
        <f t="shared" ca="1" si="0"/>
        <v/>
      </c>
      <c r="Q24" s="8" t="str">
        <f t="shared" ca="1" si="1"/>
        <v/>
      </c>
      <c r="R24" s="6"/>
      <c r="S24" s="4"/>
      <c r="T24" s="4"/>
      <c r="U24" s="4"/>
      <c r="V24" s="2"/>
      <c r="W24" s="2"/>
      <c r="X24" s="4"/>
      <c r="Y24" s="4"/>
    </row>
    <row r="25" spans="1:25" ht="28" customHeight="1">
      <c r="A25" s="2"/>
      <c r="B25" s="4"/>
      <c r="C25" s="2"/>
      <c r="D25" s="2"/>
      <c r="E25" s="2"/>
      <c r="F25" s="2"/>
      <c r="G25" s="2"/>
      <c r="H25" s="2"/>
      <c r="I25" s="2"/>
      <c r="J25" s="2"/>
      <c r="K25" s="2"/>
      <c r="L25" s="5"/>
      <c r="M25" s="5"/>
      <c r="N25" s="5"/>
      <c r="O25" s="5"/>
      <c r="P25" s="7" t="str">
        <f t="shared" ca="1" si="0"/>
        <v/>
      </c>
      <c r="Q25" s="8" t="str">
        <f t="shared" ca="1" si="1"/>
        <v/>
      </c>
      <c r="R25" s="6"/>
      <c r="S25" s="4"/>
      <c r="T25" s="4"/>
      <c r="U25" s="4"/>
      <c r="V25" s="2"/>
      <c r="W25" s="2"/>
      <c r="X25" s="4"/>
      <c r="Y25" s="4"/>
    </row>
    <row r="26" spans="1:25" ht="28" customHeight="1">
      <c r="A26" s="2"/>
      <c r="B26" s="4"/>
      <c r="C26" s="2"/>
      <c r="D26" s="2"/>
      <c r="E26" s="2"/>
      <c r="F26" s="2"/>
      <c r="G26" s="2"/>
      <c r="H26" s="2"/>
      <c r="I26" s="2"/>
      <c r="J26" s="2"/>
      <c r="K26" s="2"/>
      <c r="L26" s="5"/>
      <c r="M26" s="5"/>
      <c r="N26" s="5"/>
      <c r="O26" s="5"/>
      <c r="P26" s="7" t="str">
        <f t="shared" ca="1" si="0"/>
        <v/>
      </c>
      <c r="Q26" s="8" t="str">
        <f t="shared" ca="1" si="1"/>
        <v/>
      </c>
      <c r="R26" s="6"/>
      <c r="S26" s="4"/>
      <c r="T26" s="4"/>
      <c r="U26" s="4"/>
      <c r="V26" s="2"/>
      <c r="W26" s="2"/>
      <c r="X26" s="4"/>
      <c r="Y26" s="4"/>
    </row>
    <row r="27" spans="1:25" ht="28" customHeight="1">
      <c r="A27" s="2"/>
      <c r="B27" s="4"/>
      <c r="C27" s="2"/>
      <c r="D27" s="2"/>
      <c r="E27" s="2"/>
      <c r="F27" s="2"/>
      <c r="G27" s="2"/>
      <c r="H27" s="2"/>
      <c r="I27" s="2"/>
      <c r="J27" s="2"/>
      <c r="K27" s="2"/>
      <c r="L27" s="5"/>
      <c r="M27" s="5"/>
      <c r="N27" s="5"/>
      <c r="O27" s="5"/>
      <c r="P27" s="7" t="str">
        <f t="shared" ca="1" si="0"/>
        <v/>
      </c>
      <c r="Q27" s="8" t="str">
        <f t="shared" ca="1" si="1"/>
        <v/>
      </c>
      <c r="R27" s="6"/>
      <c r="S27" s="4"/>
      <c r="T27" s="4"/>
      <c r="U27" s="4"/>
      <c r="V27" s="2"/>
      <c r="W27" s="2"/>
      <c r="X27" s="4"/>
      <c r="Y27" s="4"/>
    </row>
    <row r="28" spans="1:25" ht="28" customHeight="1">
      <c r="A28" s="2"/>
      <c r="B28" s="4"/>
      <c r="C28" s="2"/>
      <c r="D28" s="2"/>
      <c r="E28" s="2"/>
      <c r="F28" s="2"/>
      <c r="G28" s="2"/>
      <c r="H28" s="2"/>
      <c r="I28" s="2"/>
      <c r="J28" s="2"/>
      <c r="K28" s="2"/>
      <c r="L28" s="5"/>
      <c r="M28" s="5"/>
      <c r="N28" s="5"/>
      <c r="O28" s="5"/>
      <c r="P28" s="7" t="str">
        <f t="shared" ca="1" si="0"/>
        <v/>
      </c>
      <c r="Q28" s="8" t="str">
        <f t="shared" ca="1" si="1"/>
        <v/>
      </c>
      <c r="R28" s="6"/>
      <c r="S28" s="4"/>
      <c r="T28" s="4"/>
      <c r="U28" s="4"/>
      <c r="V28" s="2"/>
      <c r="W28" s="2"/>
      <c r="X28" s="4"/>
      <c r="Y28" s="4"/>
    </row>
    <row r="29" spans="1:25" ht="28" customHeight="1">
      <c r="A29" s="2"/>
      <c r="B29" s="4"/>
      <c r="C29" s="2"/>
      <c r="D29" s="2"/>
      <c r="E29" s="2"/>
      <c r="F29" s="2"/>
      <c r="G29" s="2"/>
      <c r="H29" s="2"/>
      <c r="I29" s="2"/>
      <c r="J29" s="2"/>
      <c r="K29" s="2"/>
      <c r="L29" s="5"/>
      <c r="M29" s="5"/>
      <c r="N29" s="5"/>
      <c r="O29" s="5"/>
      <c r="P29" s="7" t="str">
        <f t="shared" ca="1" si="0"/>
        <v/>
      </c>
      <c r="Q29" s="8" t="str">
        <f t="shared" ca="1" si="1"/>
        <v/>
      </c>
      <c r="R29" s="6"/>
      <c r="S29" s="4"/>
      <c r="T29" s="4"/>
      <c r="U29" s="4"/>
      <c r="V29" s="2"/>
      <c r="W29" s="2"/>
      <c r="X29" s="4"/>
      <c r="Y29" s="4"/>
    </row>
    <row r="30" spans="1:25" ht="28" customHeight="1">
      <c r="A30" s="2"/>
      <c r="B30" s="4"/>
      <c r="C30" s="2"/>
      <c r="D30" s="2"/>
      <c r="E30" s="2"/>
      <c r="F30" s="2"/>
      <c r="G30" s="2"/>
      <c r="H30" s="2"/>
      <c r="I30" s="2"/>
      <c r="J30" s="2"/>
      <c r="K30" s="2"/>
      <c r="L30" s="5"/>
      <c r="M30" s="5"/>
      <c r="N30" s="5"/>
      <c r="O30" s="5"/>
      <c r="P30" s="7" t="str">
        <f t="shared" ca="1" si="0"/>
        <v/>
      </c>
      <c r="Q30" s="8" t="str">
        <f t="shared" ca="1" si="1"/>
        <v/>
      </c>
      <c r="R30" s="6"/>
      <c r="S30" s="4"/>
      <c r="T30" s="4"/>
      <c r="U30" s="4"/>
      <c r="V30" s="2"/>
      <c r="W30" s="2"/>
      <c r="X30" s="4"/>
      <c r="Y30" s="4"/>
    </row>
    <row r="31" spans="1:25" ht="28" customHeight="1">
      <c r="A31" s="2"/>
      <c r="B31" s="4"/>
      <c r="C31" s="2"/>
      <c r="D31" s="2"/>
      <c r="E31" s="2"/>
      <c r="F31" s="2"/>
      <c r="G31" s="2"/>
      <c r="H31" s="2"/>
      <c r="I31" s="2"/>
      <c r="J31" s="2"/>
      <c r="K31" s="2"/>
      <c r="L31" s="5"/>
      <c r="M31" s="5"/>
      <c r="N31" s="5"/>
      <c r="O31" s="5"/>
      <c r="P31" s="7" t="str">
        <f t="shared" ca="1" si="0"/>
        <v/>
      </c>
      <c r="Q31" s="8" t="str">
        <f t="shared" ca="1" si="1"/>
        <v/>
      </c>
      <c r="R31" s="6"/>
      <c r="S31" s="4"/>
      <c r="T31" s="4"/>
      <c r="U31" s="4"/>
      <c r="V31" s="2"/>
      <c r="W31" s="2"/>
      <c r="X31" s="4"/>
      <c r="Y31" s="4"/>
    </row>
    <row r="32" spans="1:25" ht="28" customHeight="1">
      <c r="A32" s="2"/>
      <c r="B32" s="4"/>
      <c r="C32" s="2"/>
      <c r="D32" s="2"/>
      <c r="E32" s="2"/>
      <c r="F32" s="2"/>
      <c r="G32" s="2"/>
      <c r="H32" s="2"/>
      <c r="I32" s="2"/>
      <c r="J32" s="2"/>
      <c r="K32" s="2"/>
      <c r="L32" s="5"/>
      <c r="M32" s="5"/>
      <c r="N32" s="5"/>
      <c r="O32" s="5"/>
      <c r="P32" s="7" t="str">
        <f t="shared" ca="1" si="0"/>
        <v/>
      </c>
      <c r="Q32" s="8" t="str">
        <f t="shared" ca="1" si="1"/>
        <v/>
      </c>
      <c r="R32" s="6"/>
      <c r="S32" s="4"/>
      <c r="T32" s="4"/>
      <c r="U32" s="4"/>
      <c r="V32" s="2"/>
      <c r="W32" s="2"/>
      <c r="X32" s="4"/>
      <c r="Y32" s="4"/>
    </row>
    <row r="33" spans="1:25" ht="28" customHeight="1">
      <c r="A33" s="2"/>
      <c r="B33" s="4"/>
      <c r="C33" s="2"/>
      <c r="D33" s="2"/>
      <c r="E33" s="2"/>
      <c r="F33" s="2"/>
      <c r="G33" s="2"/>
      <c r="H33" s="2"/>
      <c r="I33" s="2"/>
      <c r="J33" s="2"/>
      <c r="K33" s="2"/>
      <c r="L33" s="5"/>
      <c r="M33" s="5"/>
      <c r="N33" s="5"/>
      <c r="O33" s="5"/>
      <c r="P33" s="7" t="str">
        <f t="shared" ca="1" si="0"/>
        <v/>
      </c>
      <c r="Q33" s="8" t="str">
        <f t="shared" ca="1" si="1"/>
        <v/>
      </c>
      <c r="R33" s="6"/>
      <c r="S33" s="4"/>
      <c r="T33" s="4"/>
      <c r="U33" s="4"/>
      <c r="V33" s="2"/>
      <c r="W33" s="2"/>
      <c r="X33" s="4"/>
      <c r="Y33" s="4"/>
    </row>
    <row r="34" spans="1:25" ht="28" customHeight="1">
      <c r="A34" s="2"/>
      <c r="B34" s="4"/>
      <c r="C34" s="2"/>
      <c r="D34" s="2"/>
      <c r="E34" s="2"/>
      <c r="F34" s="2"/>
      <c r="G34" s="2"/>
      <c r="H34" s="2"/>
      <c r="I34" s="2"/>
      <c r="J34" s="2"/>
      <c r="K34" s="2"/>
      <c r="L34" s="5"/>
      <c r="M34" s="5"/>
      <c r="N34" s="5"/>
      <c r="O34" s="5"/>
      <c r="P34" s="7" t="str">
        <f t="shared" ca="1" si="0"/>
        <v/>
      </c>
      <c r="Q34" s="8" t="str">
        <f t="shared" ca="1" si="1"/>
        <v/>
      </c>
      <c r="R34" s="6"/>
      <c r="S34" s="4"/>
      <c r="T34" s="4"/>
      <c r="U34" s="4"/>
      <c r="V34" s="2"/>
      <c r="W34" s="2"/>
      <c r="X34" s="4"/>
      <c r="Y34" s="4"/>
    </row>
    <row r="35" spans="1:25" ht="28" customHeight="1">
      <c r="A35" s="2"/>
      <c r="B35" s="4"/>
      <c r="C35" s="2"/>
      <c r="D35" s="2"/>
      <c r="E35" s="2"/>
      <c r="F35" s="2"/>
      <c r="G35" s="2"/>
      <c r="H35" s="2"/>
      <c r="I35" s="2"/>
      <c r="J35" s="2"/>
      <c r="K35" s="2"/>
      <c r="L35" s="5"/>
      <c r="M35" s="5"/>
      <c r="N35" s="5"/>
      <c r="O35" s="5"/>
      <c r="P35" s="7" t="str">
        <f t="shared" ca="1" si="0"/>
        <v/>
      </c>
      <c r="Q35" s="8" t="str">
        <f t="shared" ca="1" si="1"/>
        <v/>
      </c>
      <c r="R35" s="6"/>
      <c r="S35" s="4"/>
      <c r="T35" s="4"/>
      <c r="U35" s="4"/>
      <c r="V35" s="2"/>
      <c r="W35" s="2"/>
      <c r="X35" s="4"/>
      <c r="Y35" s="4"/>
    </row>
    <row r="36" spans="1:25" ht="28" customHeight="1">
      <c r="A36" s="2"/>
      <c r="B36" s="4"/>
      <c r="C36" s="2"/>
      <c r="D36" s="2"/>
      <c r="E36" s="2"/>
      <c r="F36" s="2"/>
      <c r="G36" s="2"/>
      <c r="H36" s="2"/>
      <c r="I36" s="2"/>
      <c r="J36" s="2"/>
      <c r="K36" s="2"/>
      <c r="L36" s="5"/>
      <c r="M36" s="5"/>
      <c r="N36" s="5"/>
      <c r="O36" s="5"/>
      <c r="P36" s="7" t="str">
        <f t="shared" ca="1" si="0"/>
        <v/>
      </c>
      <c r="Q36" s="8" t="str">
        <f t="shared" ca="1" si="1"/>
        <v/>
      </c>
      <c r="R36" s="6"/>
      <c r="S36" s="4"/>
      <c r="T36" s="4"/>
      <c r="U36" s="4"/>
      <c r="V36" s="2"/>
      <c r="W36" s="2"/>
      <c r="X36" s="4"/>
      <c r="Y36" s="4"/>
    </row>
    <row r="37" spans="1:25" ht="28" customHeight="1">
      <c r="A37" s="2"/>
      <c r="B37" s="4"/>
      <c r="C37" s="2"/>
      <c r="D37" s="2"/>
      <c r="E37" s="2"/>
      <c r="F37" s="2"/>
      <c r="G37" s="2"/>
      <c r="H37" s="2"/>
      <c r="I37" s="2"/>
      <c r="J37" s="2"/>
      <c r="K37" s="2"/>
      <c r="L37" s="5"/>
      <c r="M37" s="5"/>
      <c r="N37" s="5"/>
      <c r="O37" s="5"/>
      <c r="P37" s="7" t="str">
        <f t="shared" ca="1" si="0"/>
        <v/>
      </c>
      <c r="Q37" s="8" t="str">
        <f t="shared" ca="1" si="1"/>
        <v/>
      </c>
      <c r="R37" s="6"/>
      <c r="S37" s="4"/>
      <c r="T37" s="4"/>
      <c r="U37" s="4"/>
      <c r="V37" s="2"/>
      <c r="W37" s="2"/>
      <c r="X37" s="4"/>
      <c r="Y37" s="4"/>
    </row>
    <row r="38" spans="1:25" ht="28" customHeight="1">
      <c r="A38" s="2"/>
      <c r="B38" s="4"/>
      <c r="C38" s="2"/>
      <c r="D38" s="2"/>
      <c r="E38" s="2"/>
      <c r="F38" s="2"/>
      <c r="G38" s="2"/>
      <c r="H38" s="2"/>
      <c r="I38" s="2"/>
      <c r="J38" s="2"/>
      <c r="K38" s="2"/>
      <c r="L38" s="5"/>
      <c r="M38" s="5"/>
      <c r="N38" s="5"/>
      <c r="O38" s="5"/>
      <c r="P38" s="7" t="str">
        <f t="shared" ca="1" si="0"/>
        <v/>
      </c>
      <c r="Q38" s="8" t="str">
        <f t="shared" ca="1" si="1"/>
        <v/>
      </c>
      <c r="R38" s="6"/>
      <c r="S38" s="4"/>
      <c r="T38" s="4"/>
      <c r="U38" s="4"/>
      <c r="V38" s="2"/>
      <c r="W38" s="2"/>
      <c r="X38" s="4"/>
      <c r="Y38" s="4"/>
    </row>
    <row r="39" spans="1:25" ht="28" customHeight="1">
      <c r="A39" s="2"/>
      <c r="B39" s="4"/>
      <c r="C39" s="2"/>
      <c r="D39" s="2"/>
      <c r="E39" s="2"/>
      <c r="F39" s="2"/>
      <c r="G39" s="2"/>
      <c r="H39" s="2"/>
      <c r="I39" s="2"/>
      <c r="J39" s="2"/>
      <c r="K39" s="2"/>
      <c r="L39" s="5"/>
      <c r="M39" s="5"/>
      <c r="N39" s="5"/>
      <c r="O39" s="5"/>
      <c r="P39" s="7" t="str">
        <f t="shared" ca="1" si="0"/>
        <v/>
      </c>
      <c r="Q39" s="8" t="str">
        <f t="shared" ca="1" si="1"/>
        <v/>
      </c>
      <c r="R39" s="6"/>
      <c r="S39" s="4"/>
      <c r="T39" s="4"/>
      <c r="U39" s="4"/>
      <c r="V39" s="2"/>
      <c r="W39" s="2"/>
      <c r="X39" s="4"/>
      <c r="Y39" s="4"/>
    </row>
    <row r="40" spans="1:25" ht="28" customHeight="1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5"/>
      <c r="M40" s="5"/>
      <c r="N40" s="5"/>
      <c r="O40" s="5"/>
      <c r="P40" s="7" t="str">
        <f t="shared" ca="1" si="0"/>
        <v/>
      </c>
      <c r="Q40" s="8" t="str">
        <f t="shared" ca="1" si="1"/>
        <v/>
      </c>
      <c r="R40" s="6"/>
      <c r="S40" s="4"/>
      <c r="T40" s="4"/>
      <c r="U40" s="4"/>
      <c r="V40" s="2"/>
      <c r="W40" s="2"/>
      <c r="X40" s="4"/>
      <c r="Y40" s="4"/>
    </row>
    <row r="41" spans="1:25" ht="28" customHeight="1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5"/>
      <c r="M41" s="5"/>
      <c r="N41" s="5"/>
      <c r="O41" s="5"/>
      <c r="P41" s="7" t="str">
        <f t="shared" ca="1" si="0"/>
        <v/>
      </c>
      <c r="Q41" s="8" t="str">
        <f t="shared" ca="1" si="1"/>
        <v/>
      </c>
      <c r="R41" s="6"/>
      <c r="S41" s="4"/>
      <c r="T41" s="4"/>
      <c r="U41" s="4"/>
      <c r="V41" s="2"/>
      <c r="W41" s="2"/>
      <c r="X41" s="4"/>
      <c r="Y41" s="4"/>
    </row>
    <row r="42" spans="1:25" ht="28" customHeight="1">
      <c r="A42" s="2"/>
      <c r="B42" s="4"/>
      <c r="C42" s="2"/>
      <c r="D42" s="2"/>
      <c r="E42" s="2"/>
      <c r="F42" s="2"/>
      <c r="G42" s="2"/>
      <c r="H42" s="2"/>
      <c r="I42" s="2"/>
      <c r="J42" s="2"/>
      <c r="K42" s="2"/>
      <c r="L42" s="5"/>
      <c r="M42" s="5"/>
      <c r="N42" s="5"/>
      <c r="O42" s="5"/>
      <c r="P42" s="7" t="str">
        <f t="shared" ca="1" si="0"/>
        <v/>
      </c>
      <c r="Q42" s="8" t="str">
        <f t="shared" ca="1" si="1"/>
        <v/>
      </c>
      <c r="R42" s="6"/>
      <c r="S42" s="4"/>
      <c r="T42" s="4"/>
      <c r="U42" s="4"/>
      <c r="V42" s="2"/>
      <c r="W42" s="2"/>
      <c r="X42" s="4"/>
      <c r="Y42" s="4"/>
    </row>
    <row r="43" spans="1:25" ht="28" customHeight="1">
      <c r="A43" s="2"/>
      <c r="B43" s="4"/>
      <c r="C43" s="2"/>
      <c r="D43" s="2"/>
      <c r="E43" s="2"/>
      <c r="F43" s="2"/>
      <c r="G43" s="2"/>
      <c r="H43" s="2"/>
      <c r="I43" s="2"/>
      <c r="J43" s="2"/>
      <c r="K43" s="2"/>
      <c r="L43" s="5"/>
      <c r="M43" s="5"/>
      <c r="N43" s="5"/>
      <c r="O43" s="5"/>
      <c r="P43" s="7" t="str">
        <f t="shared" ca="1" si="0"/>
        <v/>
      </c>
      <c r="Q43" s="8" t="str">
        <f t="shared" ca="1" si="1"/>
        <v/>
      </c>
      <c r="R43" s="6"/>
      <c r="S43" s="4"/>
      <c r="T43" s="4"/>
      <c r="U43" s="4"/>
      <c r="V43" s="2"/>
      <c r="W43" s="2"/>
      <c r="X43" s="4"/>
      <c r="Y43" s="4"/>
    </row>
    <row r="44" spans="1:25" ht="28" customHeight="1">
      <c r="A44" s="2"/>
      <c r="B44" s="4"/>
      <c r="C44" s="2"/>
      <c r="D44" s="2"/>
      <c r="E44" s="2"/>
      <c r="F44" s="2"/>
      <c r="G44" s="2"/>
      <c r="H44" s="2"/>
      <c r="I44" s="2"/>
      <c r="J44" s="2"/>
      <c r="K44" s="2"/>
      <c r="L44" s="5"/>
      <c r="M44" s="5"/>
      <c r="N44" s="5"/>
      <c r="O44" s="5"/>
      <c r="P44" s="7" t="str">
        <f t="shared" ca="1" si="0"/>
        <v/>
      </c>
      <c r="Q44" s="8" t="str">
        <f t="shared" ca="1" si="1"/>
        <v/>
      </c>
      <c r="R44" s="6"/>
      <c r="S44" s="4"/>
      <c r="T44" s="4"/>
      <c r="U44" s="4"/>
      <c r="V44" s="2"/>
      <c r="W44" s="2"/>
      <c r="X44" s="4"/>
      <c r="Y44" s="4"/>
    </row>
    <row r="45" spans="1:25" ht="28" customHeight="1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5"/>
      <c r="M45" s="5"/>
      <c r="N45" s="5"/>
      <c r="O45" s="5"/>
      <c r="P45" s="7" t="str">
        <f t="shared" ca="1" si="0"/>
        <v/>
      </c>
      <c r="Q45" s="8" t="str">
        <f t="shared" ca="1" si="1"/>
        <v/>
      </c>
      <c r="R45" s="6"/>
      <c r="S45" s="4"/>
      <c r="T45" s="4"/>
      <c r="U45" s="4"/>
      <c r="V45" s="2"/>
      <c r="W45" s="2"/>
      <c r="X45" s="4"/>
      <c r="Y45" s="4"/>
    </row>
    <row r="46" spans="1:25" ht="28" customHeight="1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5"/>
      <c r="M46" s="5"/>
      <c r="N46" s="5"/>
      <c r="O46" s="5"/>
      <c r="P46" s="7" t="str">
        <f t="shared" ca="1" si="0"/>
        <v/>
      </c>
      <c r="Q46" s="8" t="str">
        <f t="shared" ca="1" si="1"/>
        <v/>
      </c>
      <c r="R46" s="6"/>
      <c r="S46" s="4"/>
      <c r="T46" s="4"/>
      <c r="U46" s="4"/>
      <c r="V46" s="2"/>
      <c r="W46" s="2"/>
      <c r="X46" s="4"/>
      <c r="Y46" s="4"/>
    </row>
    <row r="47" spans="1:25" ht="28" customHeight="1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5"/>
      <c r="M47" s="5"/>
      <c r="N47" s="5"/>
      <c r="O47" s="5"/>
      <c r="P47" s="7" t="str">
        <f t="shared" ca="1" si="0"/>
        <v/>
      </c>
      <c r="Q47" s="8" t="str">
        <f t="shared" ca="1" si="1"/>
        <v/>
      </c>
      <c r="R47" s="6"/>
      <c r="S47" s="4"/>
      <c r="T47" s="4"/>
      <c r="U47" s="4"/>
      <c r="V47" s="2"/>
      <c r="W47" s="2"/>
      <c r="X47" s="4"/>
      <c r="Y47" s="4"/>
    </row>
    <row r="48" spans="1:25" ht="28" customHeight="1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5"/>
      <c r="M48" s="5"/>
      <c r="N48" s="5"/>
      <c r="O48" s="5"/>
      <c r="P48" s="7" t="str">
        <f t="shared" ca="1" si="0"/>
        <v/>
      </c>
      <c r="Q48" s="8" t="str">
        <f t="shared" ca="1" si="1"/>
        <v/>
      </c>
      <c r="R48" s="6"/>
      <c r="S48" s="4"/>
      <c r="T48" s="4"/>
      <c r="U48" s="4"/>
      <c r="V48" s="2"/>
      <c r="W48" s="2"/>
      <c r="X48" s="4"/>
      <c r="Y48" s="4"/>
    </row>
    <row r="49" spans="1:25" ht="28" customHeight="1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5"/>
      <c r="M49" s="5"/>
      <c r="N49" s="5"/>
      <c r="O49" s="5"/>
      <c r="P49" s="7" t="str">
        <f t="shared" ca="1" si="0"/>
        <v/>
      </c>
      <c r="Q49" s="8" t="str">
        <f t="shared" ca="1" si="1"/>
        <v/>
      </c>
      <c r="R49" s="6"/>
      <c r="S49" s="4"/>
      <c r="T49" s="4"/>
      <c r="U49" s="4"/>
      <c r="V49" s="2"/>
      <c r="W49" s="2"/>
      <c r="X49" s="4"/>
      <c r="Y49" s="4"/>
    </row>
    <row r="50" spans="1:25" ht="28" customHeight="1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5"/>
      <c r="M50" s="5"/>
      <c r="N50" s="5"/>
      <c r="O50" s="5"/>
      <c r="P50" s="7" t="str">
        <f t="shared" ca="1" si="0"/>
        <v/>
      </c>
      <c r="Q50" s="8" t="str">
        <f t="shared" ca="1" si="1"/>
        <v/>
      </c>
      <c r="R50" s="6"/>
      <c r="S50" s="4"/>
      <c r="T50" s="4"/>
      <c r="U50" s="4"/>
      <c r="V50" s="2"/>
      <c r="W50" s="2"/>
      <c r="X50" s="4"/>
      <c r="Y50" s="4"/>
    </row>
    <row r="51" spans="1:25" ht="28" customHeight="1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5"/>
      <c r="M51" s="5"/>
      <c r="N51" s="5"/>
      <c r="O51" s="5"/>
      <c r="P51" s="7" t="str">
        <f t="shared" ca="1" si="0"/>
        <v/>
      </c>
      <c r="Q51" s="8" t="str">
        <f t="shared" ca="1" si="1"/>
        <v/>
      </c>
      <c r="R51" s="6"/>
      <c r="S51" s="4"/>
      <c r="T51" s="4"/>
      <c r="U51" s="4"/>
      <c r="V51" s="2"/>
      <c r="W51" s="2"/>
      <c r="X51" s="4"/>
      <c r="Y51" s="4"/>
    </row>
    <row r="52" spans="1:25" ht="28" customHeight="1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5"/>
      <c r="M52" s="5"/>
      <c r="N52" s="5"/>
      <c r="O52" s="5"/>
      <c r="P52" s="7" t="str">
        <f t="shared" ca="1" si="0"/>
        <v/>
      </c>
      <c r="Q52" s="8" t="str">
        <f t="shared" ca="1" si="1"/>
        <v/>
      </c>
      <c r="R52" s="6"/>
      <c r="S52" s="4"/>
      <c r="T52" s="4"/>
      <c r="U52" s="4"/>
      <c r="V52" s="2"/>
      <c r="W52" s="2"/>
      <c r="X52" s="4"/>
      <c r="Y52" s="4"/>
    </row>
    <row r="53" spans="1:25" ht="28" customHeight="1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5"/>
      <c r="M53" s="5"/>
      <c r="N53" s="5"/>
      <c r="O53" s="5"/>
      <c r="P53" s="7" t="str">
        <f t="shared" ca="1" si="0"/>
        <v/>
      </c>
      <c r="Q53" s="8" t="str">
        <f t="shared" ca="1" si="1"/>
        <v/>
      </c>
      <c r="R53" s="6"/>
      <c r="S53" s="4"/>
      <c r="T53" s="4"/>
      <c r="U53" s="4"/>
      <c r="V53" s="2"/>
      <c r="W53" s="2"/>
      <c r="X53" s="4"/>
      <c r="Y53" s="4"/>
    </row>
    <row r="54" spans="1:25" ht="28" customHeight="1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5"/>
      <c r="M54" s="5"/>
      <c r="N54" s="5"/>
      <c r="O54" s="5"/>
      <c r="P54" s="7" t="str">
        <f t="shared" ca="1" si="0"/>
        <v/>
      </c>
      <c r="Q54" s="8" t="str">
        <f t="shared" ca="1" si="1"/>
        <v/>
      </c>
      <c r="R54" s="6"/>
      <c r="S54" s="4"/>
      <c r="T54" s="4"/>
      <c r="U54" s="4"/>
      <c r="V54" s="2"/>
      <c r="W54" s="2"/>
      <c r="X54" s="4"/>
      <c r="Y54" s="4"/>
    </row>
    <row r="55" spans="1:25" ht="28" customHeight="1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5"/>
      <c r="M55" s="5"/>
      <c r="N55" s="5"/>
      <c r="O55" s="5"/>
      <c r="P55" s="7" t="str">
        <f t="shared" ca="1" si="0"/>
        <v/>
      </c>
      <c r="Q55" s="8" t="str">
        <f t="shared" ca="1" si="1"/>
        <v/>
      </c>
      <c r="R55" s="6"/>
      <c r="S55" s="4"/>
      <c r="T55" s="4"/>
      <c r="U55" s="4"/>
      <c r="V55" s="2"/>
      <c r="W55" s="2"/>
      <c r="X55" s="4"/>
      <c r="Y55" s="4"/>
    </row>
    <row r="56" spans="1:25" ht="28" customHeight="1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5"/>
      <c r="M56" s="5"/>
      <c r="N56" s="5"/>
      <c r="O56" s="5"/>
      <c r="P56" s="7" t="str">
        <f t="shared" ca="1" si="0"/>
        <v/>
      </c>
      <c r="Q56" s="8" t="str">
        <f t="shared" ca="1" si="1"/>
        <v/>
      </c>
      <c r="R56" s="6"/>
      <c r="S56" s="4"/>
      <c r="T56" s="4"/>
      <c r="U56" s="4"/>
      <c r="V56" s="2"/>
      <c r="W56" s="2"/>
      <c r="X56" s="4"/>
      <c r="Y56" s="4"/>
    </row>
    <row r="57" spans="1:25" ht="28" customHeight="1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5"/>
      <c r="M57" s="5"/>
      <c r="N57" s="5"/>
      <c r="O57" s="5"/>
      <c r="P57" s="7" t="str">
        <f t="shared" ca="1" si="0"/>
        <v/>
      </c>
      <c r="Q57" s="8" t="str">
        <f t="shared" ca="1" si="1"/>
        <v/>
      </c>
      <c r="R57" s="6"/>
      <c r="S57" s="4"/>
      <c r="T57" s="4"/>
      <c r="U57" s="4"/>
      <c r="V57" s="2"/>
      <c r="W57" s="2"/>
      <c r="X57" s="4"/>
      <c r="Y57" s="4"/>
    </row>
    <row r="58" spans="1:25" ht="28" customHeight="1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5"/>
      <c r="M58" s="5"/>
      <c r="N58" s="5"/>
      <c r="O58" s="5"/>
      <c r="P58" s="7" t="str">
        <f t="shared" ca="1" si="0"/>
        <v/>
      </c>
      <c r="Q58" s="8" t="str">
        <f t="shared" ca="1" si="1"/>
        <v/>
      </c>
      <c r="R58" s="6"/>
      <c r="S58" s="4"/>
      <c r="T58" s="4"/>
      <c r="U58" s="4"/>
      <c r="V58" s="2"/>
      <c r="W58" s="2"/>
      <c r="X58" s="4"/>
      <c r="Y58" s="4"/>
    </row>
    <row r="59" spans="1:25" ht="28" customHeight="1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5"/>
      <c r="M59" s="5"/>
      <c r="N59" s="5"/>
      <c r="O59" s="5"/>
      <c r="P59" s="7" t="str">
        <f t="shared" ca="1" si="0"/>
        <v/>
      </c>
      <c r="Q59" s="8" t="str">
        <f t="shared" ca="1" si="1"/>
        <v/>
      </c>
      <c r="R59" s="6"/>
      <c r="S59" s="4"/>
      <c r="T59" s="4"/>
      <c r="U59" s="4"/>
      <c r="V59" s="2"/>
      <c r="W59" s="2"/>
      <c r="X59" s="4"/>
      <c r="Y59" s="4"/>
    </row>
    <row r="60" spans="1:25" ht="28" customHeight="1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5"/>
      <c r="M60" s="5"/>
      <c r="N60" s="5"/>
      <c r="O60" s="5"/>
      <c r="P60" s="7" t="str">
        <f t="shared" ca="1" si="0"/>
        <v/>
      </c>
      <c r="Q60" s="8" t="str">
        <f t="shared" ca="1" si="1"/>
        <v/>
      </c>
      <c r="R60" s="6"/>
      <c r="S60" s="4"/>
      <c r="T60" s="4"/>
      <c r="U60" s="4"/>
      <c r="V60" s="2"/>
      <c r="W60" s="2"/>
      <c r="X60" s="4"/>
      <c r="Y60" s="4"/>
    </row>
    <row r="61" spans="1:25" ht="28" customHeight="1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5"/>
      <c r="M61" s="5"/>
      <c r="N61" s="5"/>
      <c r="O61" s="5"/>
      <c r="P61" s="7" t="str">
        <f t="shared" ca="1" si="0"/>
        <v/>
      </c>
      <c r="Q61" s="8" t="str">
        <f t="shared" ca="1" si="1"/>
        <v/>
      </c>
      <c r="R61" s="6"/>
      <c r="S61" s="4"/>
      <c r="T61" s="4"/>
      <c r="U61" s="4"/>
      <c r="V61" s="2"/>
      <c r="W61" s="2"/>
      <c r="X61" s="4"/>
      <c r="Y61" s="4"/>
    </row>
    <row r="62" spans="1:25" ht="28" customHeight="1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5"/>
      <c r="M62" s="5"/>
      <c r="N62" s="5"/>
      <c r="O62" s="5"/>
      <c r="P62" s="7" t="str">
        <f t="shared" ca="1" si="0"/>
        <v/>
      </c>
      <c r="Q62" s="8" t="str">
        <f t="shared" ca="1" si="1"/>
        <v/>
      </c>
      <c r="R62" s="6"/>
      <c r="S62" s="4"/>
      <c r="T62" s="4"/>
      <c r="U62" s="4"/>
      <c r="V62" s="2"/>
      <c r="W62" s="2"/>
      <c r="X62" s="4"/>
      <c r="Y62" s="4"/>
    </row>
    <row r="63" spans="1:25" ht="28" customHeight="1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5"/>
      <c r="M63" s="5"/>
      <c r="N63" s="5"/>
      <c r="O63" s="5"/>
      <c r="P63" s="7" t="str">
        <f t="shared" ca="1" si="0"/>
        <v/>
      </c>
      <c r="Q63" s="8" t="str">
        <f t="shared" ca="1" si="1"/>
        <v/>
      </c>
      <c r="R63" s="6"/>
      <c r="S63" s="4"/>
      <c r="T63" s="4"/>
      <c r="U63" s="4"/>
      <c r="V63" s="2"/>
      <c r="W63" s="2"/>
      <c r="X63" s="4"/>
      <c r="Y63" s="4"/>
    </row>
    <row r="64" spans="1:25" ht="28" customHeight="1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5"/>
      <c r="M64" s="5"/>
      <c r="N64" s="5"/>
      <c r="O64" s="5"/>
      <c r="P64" s="7" t="str">
        <f t="shared" ca="1" si="0"/>
        <v/>
      </c>
      <c r="Q64" s="8" t="str">
        <f t="shared" ca="1" si="1"/>
        <v/>
      </c>
      <c r="R64" s="6"/>
      <c r="S64" s="4"/>
      <c r="T64" s="4"/>
      <c r="U64" s="4"/>
      <c r="V64" s="2"/>
      <c r="W64" s="2"/>
      <c r="X64" s="4"/>
      <c r="Y64" s="4"/>
    </row>
    <row r="65" spans="1:25" ht="28" customHeight="1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5"/>
      <c r="M65" s="5"/>
      <c r="N65" s="5"/>
      <c r="O65" s="5"/>
      <c r="P65" s="7" t="str">
        <f t="shared" ca="1" si="0"/>
        <v/>
      </c>
      <c r="Q65" s="8" t="str">
        <f t="shared" ca="1" si="1"/>
        <v/>
      </c>
      <c r="R65" s="6"/>
      <c r="S65" s="4"/>
      <c r="T65" s="4"/>
      <c r="U65" s="4"/>
      <c r="V65" s="2"/>
      <c r="W65" s="2"/>
      <c r="X65" s="4"/>
      <c r="Y65" s="4"/>
    </row>
    <row r="66" spans="1:25" ht="28" customHeight="1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5"/>
      <c r="M66" s="5"/>
      <c r="N66" s="5"/>
      <c r="O66" s="5"/>
      <c r="P66" s="7" t="str">
        <f t="shared" ca="1" si="0"/>
        <v/>
      </c>
      <c r="Q66" s="8" t="str">
        <f t="shared" ca="1" si="1"/>
        <v/>
      </c>
      <c r="R66" s="6"/>
      <c r="S66" s="4"/>
      <c r="T66" s="4"/>
      <c r="U66" s="4"/>
      <c r="V66" s="2"/>
      <c r="W66" s="2"/>
      <c r="X66" s="4"/>
      <c r="Y66" s="4"/>
    </row>
    <row r="67" spans="1:25" ht="28" customHeight="1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5"/>
      <c r="M67" s="5"/>
      <c r="N67" s="5"/>
      <c r="O67" s="5"/>
      <c r="P67" s="7" t="str">
        <f t="shared" ca="1" si="0"/>
        <v/>
      </c>
      <c r="Q67" s="8" t="str">
        <f t="shared" ca="1" si="1"/>
        <v/>
      </c>
      <c r="R67" s="6"/>
      <c r="S67" s="4"/>
      <c r="T67" s="4"/>
      <c r="U67" s="4"/>
      <c r="V67" s="2"/>
      <c r="W67" s="2"/>
      <c r="X67" s="4"/>
      <c r="Y67" s="4"/>
    </row>
    <row r="68" spans="1:25" ht="28" customHeight="1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5"/>
      <c r="M68" s="5"/>
      <c r="N68" s="5"/>
      <c r="O68" s="5"/>
      <c r="P68" s="7" t="str">
        <f t="shared" ca="1" si="0"/>
        <v/>
      </c>
      <c r="Q68" s="8" t="str">
        <f t="shared" ca="1" si="1"/>
        <v/>
      </c>
      <c r="R68" s="6"/>
      <c r="S68" s="4"/>
      <c r="T68" s="4"/>
      <c r="U68" s="4"/>
      <c r="V68" s="2"/>
      <c r="W68" s="2"/>
      <c r="X68" s="4"/>
      <c r="Y68" s="4"/>
    </row>
    <row r="69" spans="1:25" ht="28" customHeight="1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5"/>
      <c r="M69" s="5"/>
      <c r="N69" s="5"/>
      <c r="O69" s="5"/>
      <c r="P69" s="7" t="str">
        <f t="shared" ca="1" si="0"/>
        <v/>
      </c>
      <c r="Q69" s="8" t="str">
        <f t="shared" ca="1" si="1"/>
        <v/>
      </c>
      <c r="R69" s="6"/>
      <c r="S69" s="4"/>
      <c r="T69" s="4"/>
      <c r="U69" s="4"/>
      <c r="V69" s="2"/>
      <c r="W69" s="2"/>
      <c r="X69" s="4"/>
      <c r="Y69" s="4"/>
    </row>
    <row r="70" spans="1:25" ht="28" customHeight="1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5"/>
      <c r="M70" s="5"/>
      <c r="N70" s="5"/>
      <c r="O70" s="5"/>
      <c r="P70" s="7" t="str">
        <f t="shared" ca="1" si="0"/>
        <v/>
      </c>
      <c r="Q70" s="8" t="str">
        <f t="shared" ca="1" si="1"/>
        <v/>
      </c>
      <c r="R70" s="6"/>
      <c r="S70" s="4"/>
      <c r="T70" s="4"/>
      <c r="U70" s="4"/>
      <c r="V70" s="2"/>
      <c r="W70" s="2"/>
      <c r="X70" s="4"/>
      <c r="Y70" s="4"/>
    </row>
    <row r="71" spans="1:25" ht="28" customHeight="1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5"/>
      <c r="M71" s="5"/>
      <c r="N71" s="5"/>
      <c r="O71" s="5"/>
      <c r="P71" s="7" t="str">
        <f t="shared" ref="P71:P134" ca="1" si="2">IF(A71="","",IF(L71="","",MAX(0,IF(O71&lt;&gt;"",O71,TODAY())-L71)))</f>
        <v/>
      </c>
      <c r="Q71" s="8" t="str">
        <f t="shared" ref="Q71:Q134" ca="1" si="3">IF(A71="","",IF(OR(G71="Closed",G71="Duplicate",G71="Won't Fix"),"Hoàn tất",IF(M71="","Chưa đặt hạn",IF(TODAY()&gt;M71,"Quá hạn",IF(TODAY()=M71,"Đến hạn","Trong hạn")))))</f>
        <v/>
      </c>
      <c r="R71" s="6"/>
      <c r="S71" s="4"/>
      <c r="T71" s="4"/>
      <c r="U71" s="4"/>
      <c r="V71" s="2"/>
      <c r="W71" s="2"/>
      <c r="X71" s="4"/>
      <c r="Y71" s="4"/>
    </row>
    <row r="72" spans="1:25" ht="28" customHeight="1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5"/>
      <c r="M72" s="5"/>
      <c r="N72" s="5"/>
      <c r="O72" s="5"/>
      <c r="P72" s="7" t="str">
        <f t="shared" ca="1" si="2"/>
        <v/>
      </c>
      <c r="Q72" s="8" t="str">
        <f t="shared" ca="1" si="3"/>
        <v/>
      </c>
      <c r="R72" s="6"/>
      <c r="S72" s="4"/>
      <c r="T72" s="4"/>
      <c r="U72" s="4"/>
      <c r="V72" s="2"/>
      <c r="W72" s="2"/>
      <c r="X72" s="4"/>
      <c r="Y72" s="4"/>
    </row>
    <row r="73" spans="1:25" ht="28" customHeight="1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5"/>
      <c r="M73" s="5"/>
      <c r="N73" s="5"/>
      <c r="O73" s="5"/>
      <c r="P73" s="7" t="str">
        <f t="shared" ca="1" si="2"/>
        <v/>
      </c>
      <c r="Q73" s="8" t="str">
        <f t="shared" ca="1" si="3"/>
        <v/>
      </c>
      <c r="R73" s="6"/>
      <c r="S73" s="4"/>
      <c r="T73" s="4"/>
      <c r="U73" s="4"/>
      <c r="V73" s="2"/>
      <c r="W73" s="2"/>
      <c r="X73" s="4"/>
      <c r="Y73" s="4"/>
    </row>
    <row r="74" spans="1:25" ht="28" customHeight="1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5"/>
      <c r="M74" s="5"/>
      <c r="N74" s="5"/>
      <c r="O74" s="5"/>
      <c r="P74" s="7" t="str">
        <f t="shared" ca="1" si="2"/>
        <v/>
      </c>
      <c r="Q74" s="8" t="str">
        <f t="shared" ca="1" si="3"/>
        <v/>
      </c>
      <c r="R74" s="6"/>
      <c r="S74" s="4"/>
      <c r="T74" s="4"/>
      <c r="U74" s="4"/>
      <c r="V74" s="2"/>
      <c r="W74" s="2"/>
      <c r="X74" s="4"/>
      <c r="Y74" s="4"/>
    </row>
    <row r="75" spans="1:25" ht="28" customHeight="1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5"/>
      <c r="M75" s="5"/>
      <c r="N75" s="5"/>
      <c r="O75" s="5"/>
      <c r="P75" s="7" t="str">
        <f t="shared" ca="1" si="2"/>
        <v/>
      </c>
      <c r="Q75" s="8" t="str">
        <f t="shared" ca="1" si="3"/>
        <v/>
      </c>
      <c r="R75" s="6"/>
      <c r="S75" s="4"/>
      <c r="T75" s="4"/>
      <c r="U75" s="4"/>
      <c r="V75" s="2"/>
      <c r="W75" s="2"/>
      <c r="X75" s="4"/>
      <c r="Y75" s="4"/>
    </row>
    <row r="76" spans="1:25" ht="28" customHeight="1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5"/>
      <c r="M76" s="5"/>
      <c r="N76" s="5"/>
      <c r="O76" s="5"/>
      <c r="P76" s="7" t="str">
        <f t="shared" ca="1" si="2"/>
        <v/>
      </c>
      <c r="Q76" s="8" t="str">
        <f t="shared" ca="1" si="3"/>
        <v/>
      </c>
      <c r="R76" s="6"/>
      <c r="S76" s="4"/>
      <c r="T76" s="4"/>
      <c r="U76" s="4"/>
      <c r="V76" s="2"/>
      <c r="W76" s="2"/>
      <c r="X76" s="4"/>
      <c r="Y76" s="4"/>
    </row>
    <row r="77" spans="1:25" ht="28" customHeight="1">
      <c r="A77" s="2"/>
      <c r="B77" s="4"/>
      <c r="C77" s="2"/>
      <c r="D77" s="2"/>
      <c r="E77" s="2"/>
      <c r="F77" s="2"/>
      <c r="G77" s="2"/>
      <c r="H77" s="2"/>
      <c r="I77" s="2"/>
      <c r="J77" s="2"/>
      <c r="K77" s="2"/>
      <c r="L77" s="5"/>
      <c r="M77" s="5"/>
      <c r="N77" s="5"/>
      <c r="O77" s="5"/>
      <c r="P77" s="7" t="str">
        <f t="shared" ca="1" si="2"/>
        <v/>
      </c>
      <c r="Q77" s="8" t="str">
        <f t="shared" ca="1" si="3"/>
        <v/>
      </c>
      <c r="R77" s="6"/>
      <c r="S77" s="4"/>
      <c r="T77" s="4"/>
      <c r="U77" s="4"/>
      <c r="V77" s="2"/>
      <c r="W77" s="2"/>
      <c r="X77" s="4"/>
      <c r="Y77" s="4"/>
    </row>
    <row r="78" spans="1:25" ht="28" customHeight="1">
      <c r="A78" s="2"/>
      <c r="B78" s="4"/>
      <c r="C78" s="2"/>
      <c r="D78" s="2"/>
      <c r="E78" s="2"/>
      <c r="F78" s="2"/>
      <c r="G78" s="2"/>
      <c r="H78" s="2"/>
      <c r="I78" s="2"/>
      <c r="J78" s="2"/>
      <c r="K78" s="2"/>
      <c r="L78" s="5"/>
      <c r="M78" s="5"/>
      <c r="N78" s="5"/>
      <c r="O78" s="5"/>
      <c r="P78" s="7" t="str">
        <f t="shared" ca="1" si="2"/>
        <v/>
      </c>
      <c r="Q78" s="8" t="str">
        <f t="shared" ca="1" si="3"/>
        <v/>
      </c>
      <c r="R78" s="6"/>
      <c r="S78" s="4"/>
      <c r="T78" s="4"/>
      <c r="U78" s="4"/>
      <c r="V78" s="2"/>
      <c r="W78" s="2"/>
      <c r="X78" s="4"/>
      <c r="Y78" s="4"/>
    </row>
    <row r="79" spans="1:25" ht="28" customHeight="1">
      <c r="A79" s="2"/>
      <c r="B79" s="4"/>
      <c r="C79" s="2"/>
      <c r="D79" s="2"/>
      <c r="E79" s="2"/>
      <c r="F79" s="2"/>
      <c r="G79" s="2"/>
      <c r="H79" s="2"/>
      <c r="I79" s="2"/>
      <c r="J79" s="2"/>
      <c r="K79" s="2"/>
      <c r="L79" s="5"/>
      <c r="M79" s="5"/>
      <c r="N79" s="5"/>
      <c r="O79" s="5"/>
      <c r="P79" s="7" t="str">
        <f t="shared" ca="1" si="2"/>
        <v/>
      </c>
      <c r="Q79" s="8" t="str">
        <f t="shared" ca="1" si="3"/>
        <v/>
      </c>
      <c r="R79" s="6"/>
      <c r="S79" s="4"/>
      <c r="T79" s="4"/>
      <c r="U79" s="4"/>
      <c r="V79" s="2"/>
      <c r="W79" s="2"/>
      <c r="X79" s="4"/>
      <c r="Y79" s="4"/>
    </row>
    <row r="80" spans="1:25" ht="28" customHeight="1">
      <c r="A80" s="2"/>
      <c r="B80" s="4"/>
      <c r="C80" s="2"/>
      <c r="D80" s="2"/>
      <c r="E80" s="2"/>
      <c r="F80" s="2"/>
      <c r="G80" s="2"/>
      <c r="H80" s="2"/>
      <c r="I80" s="2"/>
      <c r="J80" s="2"/>
      <c r="K80" s="2"/>
      <c r="L80" s="5"/>
      <c r="M80" s="5"/>
      <c r="N80" s="5"/>
      <c r="O80" s="5"/>
      <c r="P80" s="7" t="str">
        <f t="shared" ca="1" si="2"/>
        <v/>
      </c>
      <c r="Q80" s="8" t="str">
        <f t="shared" ca="1" si="3"/>
        <v/>
      </c>
      <c r="R80" s="6"/>
      <c r="S80" s="4"/>
      <c r="T80" s="4"/>
      <c r="U80" s="4"/>
      <c r="V80" s="2"/>
      <c r="W80" s="2"/>
      <c r="X80" s="4"/>
      <c r="Y80" s="4"/>
    </row>
    <row r="81" spans="1:25" ht="28" customHeight="1">
      <c r="A81" s="2"/>
      <c r="B81" s="4"/>
      <c r="C81" s="2"/>
      <c r="D81" s="2"/>
      <c r="E81" s="2"/>
      <c r="F81" s="2"/>
      <c r="G81" s="2"/>
      <c r="H81" s="2"/>
      <c r="I81" s="2"/>
      <c r="J81" s="2"/>
      <c r="K81" s="2"/>
      <c r="L81" s="5"/>
      <c r="M81" s="5"/>
      <c r="N81" s="5"/>
      <c r="O81" s="5"/>
      <c r="P81" s="7" t="str">
        <f t="shared" ca="1" si="2"/>
        <v/>
      </c>
      <c r="Q81" s="8" t="str">
        <f t="shared" ca="1" si="3"/>
        <v/>
      </c>
      <c r="R81" s="6"/>
      <c r="S81" s="4"/>
      <c r="T81" s="4"/>
      <c r="U81" s="4"/>
      <c r="V81" s="2"/>
      <c r="W81" s="2"/>
      <c r="X81" s="4"/>
      <c r="Y81" s="4"/>
    </row>
    <row r="82" spans="1:25" ht="28" customHeight="1">
      <c r="A82" s="2"/>
      <c r="B82" s="4"/>
      <c r="C82" s="2"/>
      <c r="D82" s="2"/>
      <c r="E82" s="2"/>
      <c r="F82" s="2"/>
      <c r="G82" s="2"/>
      <c r="H82" s="2"/>
      <c r="I82" s="2"/>
      <c r="J82" s="2"/>
      <c r="K82" s="2"/>
      <c r="L82" s="5"/>
      <c r="M82" s="5"/>
      <c r="N82" s="5"/>
      <c r="O82" s="5"/>
      <c r="P82" s="7" t="str">
        <f t="shared" ca="1" si="2"/>
        <v/>
      </c>
      <c r="Q82" s="8" t="str">
        <f t="shared" ca="1" si="3"/>
        <v/>
      </c>
      <c r="R82" s="6"/>
      <c r="S82" s="4"/>
      <c r="T82" s="4"/>
      <c r="U82" s="4"/>
      <c r="V82" s="2"/>
      <c r="W82" s="2"/>
      <c r="X82" s="4"/>
      <c r="Y82" s="4"/>
    </row>
    <row r="83" spans="1:25" ht="28" customHeight="1">
      <c r="A83" s="2"/>
      <c r="B83" s="4"/>
      <c r="C83" s="2"/>
      <c r="D83" s="2"/>
      <c r="E83" s="2"/>
      <c r="F83" s="2"/>
      <c r="G83" s="2"/>
      <c r="H83" s="2"/>
      <c r="I83" s="2"/>
      <c r="J83" s="2"/>
      <c r="K83" s="2"/>
      <c r="L83" s="5"/>
      <c r="M83" s="5"/>
      <c r="N83" s="5"/>
      <c r="O83" s="5"/>
      <c r="P83" s="7" t="str">
        <f t="shared" ca="1" si="2"/>
        <v/>
      </c>
      <c r="Q83" s="8" t="str">
        <f t="shared" ca="1" si="3"/>
        <v/>
      </c>
      <c r="R83" s="6"/>
      <c r="S83" s="4"/>
      <c r="T83" s="4"/>
      <c r="U83" s="4"/>
      <c r="V83" s="2"/>
      <c r="W83" s="2"/>
      <c r="X83" s="4"/>
      <c r="Y83" s="4"/>
    </row>
    <row r="84" spans="1:25" ht="28" customHeight="1">
      <c r="A84" s="2"/>
      <c r="B84" s="4"/>
      <c r="C84" s="2"/>
      <c r="D84" s="2"/>
      <c r="E84" s="2"/>
      <c r="F84" s="2"/>
      <c r="G84" s="2"/>
      <c r="H84" s="2"/>
      <c r="I84" s="2"/>
      <c r="J84" s="2"/>
      <c r="K84" s="2"/>
      <c r="L84" s="5"/>
      <c r="M84" s="5"/>
      <c r="N84" s="5"/>
      <c r="O84" s="5"/>
      <c r="P84" s="7" t="str">
        <f t="shared" ca="1" si="2"/>
        <v/>
      </c>
      <c r="Q84" s="8" t="str">
        <f t="shared" ca="1" si="3"/>
        <v/>
      </c>
      <c r="R84" s="6"/>
      <c r="S84" s="4"/>
      <c r="T84" s="4"/>
      <c r="U84" s="4"/>
      <c r="V84" s="2"/>
      <c r="W84" s="2"/>
      <c r="X84" s="4"/>
      <c r="Y84" s="4"/>
    </row>
    <row r="85" spans="1:25" ht="28" customHeight="1">
      <c r="A85" s="2"/>
      <c r="B85" s="4"/>
      <c r="C85" s="2"/>
      <c r="D85" s="2"/>
      <c r="E85" s="2"/>
      <c r="F85" s="2"/>
      <c r="G85" s="2"/>
      <c r="H85" s="2"/>
      <c r="I85" s="2"/>
      <c r="J85" s="2"/>
      <c r="K85" s="2"/>
      <c r="L85" s="5"/>
      <c r="M85" s="5"/>
      <c r="N85" s="5"/>
      <c r="O85" s="5"/>
      <c r="P85" s="7" t="str">
        <f t="shared" ca="1" si="2"/>
        <v/>
      </c>
      <c r="Q85" s="8" t="str">
        <f t="shared" ca="1" si="3"/>
        <v/>
      </c>
      <c r="R85" s="6"/>
      <c r="S85" s="4"/>
      <c r="T85" s="4"/>
      <c r="U85" s="4"/>
      <c r="V85" s="2"/>
      <c r="W85" s="2"/>
      <c r="X85" s="4"/>
      <c r="Y85" s="4"/>
    </row>
    <row r="86" spans="1:25" ht="28" customHeight="1">
      <c r="A86" s="2"/>
      <c r="B86" s="4"/>
      <c r="C86" s="2"/>
      <c r="D86" s="2"/>
      <c r="E86" s="2"/>
      <c r="F86" s="2"/>
      <c r="G86" s="2"/>
      <c r="H86" s="2"/>
      <c r="I86" s="2"/>
      <c r="J86" s="2"/>
      <c r="K86" s="2"/>
      <c r="L86" s="5"/>
      <c r="M86" s="5"/>
      <c r="N86" s="5"/>
      <c r="O86" s="5"/>
      <c r="P86" s="7" t="str">
        <f t="shared" ca="1" si="2"/>
        <v/>
      </c>
      <c r="Q86" s="8" t="str">
        <f t="shared" ca="1" si="3"/>
        <v/>
      </c>
      <c r="R86" s="6"/>
      <c r="S86" s="4"/>
      <c r="T86" s="4"/>
      <c r="U86" s="4"/>
      <c r="V86" s="2"/>
      <c r="W86" s="2"/>
      <c r="X86" s="4"/>
      <c r="Y86" s="4"/>
    </row>
    <row r="87" spans="1:25" ht="28" customHeight="1">
      <c r="A87" s="2"/>
      <c r="B87" s="4"/>
      <c r="C87" s="2"/>
      <c r="D87" s="2"/>
      <c r="E87" s="2"/>
      <c r="F87" s="2"/>
      <c r="G87" s="2"/>
      <c r="H87" s="2"/>
      <c r="I87" s="2"/>
      <c r="J87" s="2"/>
      <c r="K87" s="2"/>
      <c r="L87" s="5"/>
      <c r="M87" s="5"/>
      <c r="N87" s="5"/>
      <c r="O87" s="5"/>
      <c r="P87" s="7" t="str">
        <f t="shared" ca="1" si="2"/>
        <v/>
      </c>
      <c r="Q87" s="8" t="str">
        <f t="shared" ca="1" si="3"/>
        <v/>
      </c>
      <c r="R87" s="6"/>
      <c r="S87" s="4"/>
      <c r="T87" s="4"/>
      <c r="U87" s="4"/>
      <c r="V87" s="2"/>
      <c r="W87" s="2"/>
      <c r="X87" s="4"/>
      <c r="Y87" s="4"/>
    </row>
    <row r="88" spans="1:25" ht="28" customHeight="1">
      <c r="A88" s="2"/>
      <c r="B88" s="4"/>
      <c r="C88" s="2"/>
      <c r="D88" s="2"/>
      <c r="E88" s="2"/>
      <c r="F88" s="2"/>
      <c r="G88" s="2"/>
      <c r="H88" s="2"/>
      <c r="I88" s="2"/>
      <c r="J88" s="2"/>
      <c r="K88" s="2"/>
      <c r="L88" s="5"/>
      <c r="M88" s="5"/>
      <c r="N88" s="5"/>
      <c r="O88" s="5"/>
      <c r="P88" s="7" t="str">
        <f t="shared" ca="1" si="2"/>
        <v/>
      </c>
      <c r="Q88" s="8" t="str">
        <f t="shared" ca="1" si="3"/>
        <v/>
      </c>
      <c r="R88" s="6"/>
      <c r="S88" s="4"/>
      <c r="T88" s="4"/>
      <c r="U88" s="4"/>
      <c r="V88" s="2"/>
      <c r="W88" s="2"/>
      <c r="X88" s="4"/>
      <c r="Y88" s="4"/>
    </row>
    <row r="89" spans="1:25" ht="28" customHeight="1">
      <c r="A89" s="2"/>
      <c r="B89" s="4"/>
      <c r="C89" s="2"/>
      <c r="D89" s="2"/>
      <c r="E89" s="2"/>
      <c r="F89" s="2"/>
      <c r="G89" s="2"/>
      <c r="H89" s="2"/>
      <c r="I89" s="2"/>
      <c r="J89" s="2"/>
      <c r="K89" s="2"/>
      <c r="L89" s="5"/>
      <c r="M89" s="5"/>
      <c r="N89" s="5"/>
      <c r="O89" s="5"/>
      <c r="P89" s="7" t="str">
        <f t="shared" ca="1" si="2"/>
        <v/>
      </c>
      <c r="Q89" s="8" t="str">
        <f t="shared" ca="1" si="3"/>
        <v/>
      </c>
      <c r="R89" s="6"/>
      <c r="S89" s="4"/>
      <c r="T89" s="4"/>
      <c r="U89" s="4"/>
      <c r="V89" s="2"/>
      <c r="W89" s="2"/>
      <c r="X89" s="4"/>
      <c r="Y89" s="4"/>
    </row>
    <row r="90" spans="1:25" ht="28" customHeight="1">
      <c r="A90" s="2"/>
      <c r="B90" s="4"/>
      <c r="C90" s="2"/>
      <c r="D90" s="2"/>
      <c r="E90" s="2"/>
      <c r="F90" s="2"/>
      <c r="G90" s="2"/>
      <c r="H90" s="2"/>
      <c r="I90" s="2"/>
      <c r="J90" s="2"/>
      <c r="K90" s="2"/>
      <c r="L90" s="5"/>
      <c r="M90" s="5"/>
      <c r="N90" s="5"/>
      <c r="O90" s="5"/>
      <c r="P90" s="7" t="str">
        <f t="shared" ca="1" si="2"/>
        <v/>
      </c>
      <c r="Q90" s="8" t="str">
        <f t="shared" ca="1" si="3"/>
        <v/>
      </c>
      <c r="R90" s="6"/>
      <c r="S90" s="4"/>
      <c r="T90" s="4"/>
      <c r="U90" s="4"/>
      <c r="V90" s="2"/>
      <c r="W90" s="2"/>
      <c r="X90" s="4"/>
      <c r="Y90" s="4"/>
    </row>
    <row r="91" spans="1:25" ht="28" customHeight="1">
      <c r="A91" s="2"/>
      <c r="B91" s="4"/>
      <c r="C91" s="2"/>
      <c r="D91" s="2"/>
      <c r="E91" s="2"/>
      <c r="F91" s="2"/>
      <c r="G91" s="2"/>
      <c r="H91" s="2"/>
      <c r="I91" s="2"/>
      <c r="J91" s="2"/>
      <c r="K91" s="2"/>
      <c r="L91" s="5"/>
      <c r="M91" s="5"/>
      <c r="N91" s="5"/>
      <c r="O91" s="5"/>
      <c r="P91" s="7" t="str">
        <f t="shared" ca="1" si="2"/>
        <v/>
      </c>
      <c r="Q91" s="8" t="str">
        <f t="shared" ca="1" si="3"/>
        <v/>
      </c>
      <c r="R91" s="6"/>
      <c r="S91" s="4"/>
      <c r="T91" s="4"/>
      <c r="U91" s="4"/>
      <c r="V91" s="2"/>
      <c r="W91" s="2"/>
      <c r="X91" s="4"/>
      <c r="Y91" s="4"/>
    </row>
    <row r="92" spans="1:25" ht="28" customHeight="1">
      <c r="A92" s="2"/>
      <c r="B92" s="4"/>
      <c r="C92" s="2"/>
      <c r="D92" s="2"/>
      <c r="E92" s="2"/>
      <c r="F92" s="2"/>
      <c r="G92" s="2"/>
      <c r="H92" s="2"/>
      <c r="I92" s="2"/>
      <c r="J92" s="2"/>
      <c r="K92" s="2"/>
      <c r="L92" s="5"/>
      <c r="M92" s="5"/>
      <c r="N92" s="5"/>
      <c r="O92" s="5"/>
      <c r="P92" s="7" t="str">
        <f t="shared" ca="1" si="2"/>
        <v/>
      </c>
      <c r="Q92" s="8" t="str">
        <f t="shared" ca="1" si="3"/>
        <v/>
      </c>
      <c r="R92" s="6"/>
      <c r="S92" s="4"/>
      <c r="T92" s="4"/>
      <c r="U92" s="4"/>
      <c r="V92" s="2"/>
      <c r="W92" s="2"/>
      <c r="X92" s="4"/>
      <c r="Y92" s="4"/>
    </row>
    <row r="93" spans="1:25" ht="28" customHeight="1">
      <c r="A93" s="2"/>
      <c r="B93" s="4"/>
      <c r="C93" s="2"/>
      <c r="D93" s="2"/>
      <c r="E93" s="2"/>
      <c r="F93" s="2"/>
      <c r="G93" s="2"/>
      <c r="H93" s="2"/>
      <c r="I93" s="2"/>
      <c r="J93" s="2"/>
      <c r="K93" s="2"/>
      <c r="L93" s="5"/>
      <c r="M93" s="5"/>
      <c r="N93" s="5"/>
      <c r="O93" s="5"/>
      <c r="P93" s="7" t="str">
        <f t="shared" ca="1" si="2"/>
        <v/>
      </c>
      <c r="Q93" s="8" t="str">
        <f t="shared" ca="1" si="3"/>
        <v/>
      </c>
      <c r="R93" s="6"/>
      <c r="S93" s="4"/>
      <c r="T93" s="4"/>
      <c r="U93" s="4"/>
      <c r="V93" s="2"/>
      <c r="W93" s="2"/>
      <c r="X93" s="4"/>
      <c r="Y93" s="4"/>
    </row>
    <row r="94" spans="1:25" ht="28" customHeight="1">
      <c r="A94" s="2"/>
      <c r="B94" s="4"/>
      <c r="C94" s="2"/>
      <c r="D94" s="2"/>
      <c r="E94" s="2"/>
      <c r="F94" s="2"/>
      <c r="G94" s="2"/>
      <c r="H94" s="2"/>
      <c r="I94" s="2"/>
      <c r="J94" s="2"/>
      <c r="K94" s="2"/>
      <c r="L94" s="5"/>
      <c r="M94" s="5"/>
      <c r="N94" s="5"/>
      <c r="O94" s="5"/>
      <c r="P94" s="7" t="str">
        <f t="shared" ca="1" si="2"/>
        <v/>
      </c>
      <c r="Q94" s="8" t="str">
        <f t="shared" ca="1" si="3"/>
        <v/>
      </c>
      <c r="R94" s="6"/>
      <c r="S94" s="4"/>
      <c r="T94" s="4"/>
      <c r="U94" s="4"/>
      <c r="V94" s="2"/>
      <c r="W94" s="2"/>
      <c r="X94" s="4"/>
      <c r="Y94" s="4"/>
    </row>
    <row r="95" spans="1:25" ht="28" customHeight="1">
      <c r="A95" s="2"/>
      <c r="B95" s="4"/>
      <c r="C95" s="2"/>
      <c r="D95" s="2"/>
      <c r="E95" s="2"/>
      <c r="F95" s="2"/>
      <c r="G95" s="2"/>
      <c r="H95" s="2"/>
      <c r="I95" s="2"/>
      <c r="J95" s="2"/>
      <c r="K95" s="2"/>
      <c r="L95" s="5"/>
      <c r="M95" s="5"/>
      <c r="N95" s="5"/>
      <c r="O95" s="5"/>
      <c r="P95" s="7" t="str">
        <f t="shared" ca="1" si="2"/>
        <v/>
      </c>
      <c r="Q95" s="8" t="str">
        <f t="shared" ca="1" si="3"/>
        <v/>
      </c>
      <c r="R95" s="6"/>
      <c r="S95" s="4"/>
      <c r="T95" s="4"/>
      <c r="U95" s="4"/>
      <c r="V95" s="2"/>
      <c r="W95" s="2"/>
      <c r="X95" s="4"/>
      <c r="Y95" s="4"/>
    </row>
    <row r="96" spans="1:25" ht="28" customHeight="1">
      <c r="A96" s="2"/>
      <c r="B96" s="4"/>
      <c r="C96" s="2"/>
      <c r="D96" s="2"/>
      <c r="E96" s="2"/>
      <c r="F96" s="2"/>
      <c r="G96" s="2"/>
      <c r="H96" s="2"/>
      <c r="I96" s="2"/>
      <c r="J96" s="2"/>
      <c r="K96" s="2"/>
      <c r="L96" s="5"/>
      <c r="M96" s="5"/>
      <c r="N96" s="5"/>
      <c r="O96" s="5"/>
      <c r="P96" s="7" t="str">
        <f t="shared" ca="1" si="2"/>
        <v/>
      </c>
      <c r="Q96" s="8" t="str">
        <f t="shared" ca="1" si="3"/>
        <v/>
      </c>
      <c r="R96" s="6"/>
      <c r="S96" s="4"/>
      <c r="T96" s="4"/>
      <c r="U96" s="4"/>
      <c r="V96" s="2"/>
      <c r="W96" s="2"/>
      <c r="X96" s="4"/>
      <c r="Y96" s="4"/>
    </row>
    <row r="97" spans="1:25" ht="28" customHeight="1">
      <c r="A97" s="2"/>
      <c r="B97" s="4"/>
      <c r="C97" s="2"/>
      <c r="D97" s="2"/>
      <c r="E97" s="2"/>
      <c r="F97" s="2"/>
      <c r="G97" s="2"/>
      <c r="H97" s="2"/>
      <c r="I97" s="2"/>
      <c r="J97" s="2"/>
      <c r="K97" s="2"/>
      <c r="L97" s="5"/>
      <c r="M97" s="5"/>
      <c r="N97" s="5"/>
      <c r="O97" s="5"/>
      <c r="P97" s="7" t="str">
        <f t="shared" ca="1" si="2"/>
        <v/>
      </c>
      <c r="Q97" s="8" t="str">
        <f t="shared" ca="1" si="3"/>
        <v/>
      </c>
      <c r="R97" s="6"/>
      <c r="S97" s="4"/>
      <c r="T97" s="4"/>
      <c r="U97" s="4"/>
      <c r="V97" s="2"/>
      <c r="W97" s="2"/>
      <c r="X97" s="4"/>
      <c r="Y97" s="4"/>
    </row>
    <row r="98" spans="1:25" ht="28" customHeight="1">
      <c r="A98" s="2"/>
      <c r="B98" s="4"/>
      <c r="C98" s="2"/>
      <c r="D98" s="2"/>
      <c r="E98" s="2"/>
      <c r="F98" s="2"/>
      <c r="G98" s="2"/>
      <c r="H98" s="2"/>
      <c r="I98" s="2"/>
      <c r="J98" s="2"/>
      <c r="K98" s="2"/>
      <c r="L98" s="5"/>
      <c r="M98" s="5"/>
      <c r="N98" s="5"/>
      <c r="O98" s="5"/>
      <c r="P98" s="7" t="str">
        <f t="shared" ca="1" si="2"/>
        <v/>
      </c>
      <c r="Q98" s="8" t="str">
        <f t="shared" ca="1" si="3"/>
        <v/>
      </c>
      <c r="R98" s="6"/>
      <c r="S98" s="4"/>
      <c r="T98" s="4"/>
      <c r="U98" s="4"/>
      <c r="V98" s="2"/>
      <c r="W98" s="2"/>
      <c r="X98" s="4"/>
      <c r="Y98" s="4"/>
    </row>
    <row r="99" spans="1:25" ht="28" customHeight="1">
      <c r="A99" s="2"/>
      <c r="B99" s="4"/>
      <c r="C99" s="2"/>
      <c r="D99" s="2"/>
      <c r="E99" s="2"/>
      <c r="F99" s="2"/>
      <c r="G99" s="2"/>
      <c r="H99" s="2"/>
      <c r="I99" s="2"/>
      <c r="J99" s="2"/>
      <c r="K99" s="2"/>
      <c r="L99" s="5"/>
      <c r="M99" s="5"/>
      <c r="N99" s="5"/>
      <c r="O99" s="5"/>
      <c r="P99" s="7" t="str">
        <f t="shared" ca="1" si="2"/>
        <v/>
      </c>
      <c r="Q99" s="8" t="str">
        <f t="shared" ca="1" si="3"/>
        <v/>
      </c>
      <c r="R99" s="6"/>
      <c r="S99" s="4"/>
      <c r="T99" s="4"/>
      <c r="U99" s="4"/>
      <c r="V99" s="2"/>
      <c r="W99" s="2"/>
      <c r="X99" s="4"/>
      <c r="Y99" s="4"/>
    </row>
    <row r="100" spans="1:25" ht="28" customHeight="1">
      <c r="A100" s="2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5"/>
      <c r="M100" s="5"/>
      <c r="N100" s="5"/>
      <c r="O100" s="5"/>
      <c r="P100" s="7" t="str">
        <f t="shared" ca="1" si="2"/>
        <v/>
      </c>
      <c r="Q100" s="8" t="str">
        <f t="shared" ca="1" si="3"/>
        <v/>
      </c>
      <c r="R100" s="6"/>
      <c r="S100" s="4"/>
      <c r="T100" s="4"/>
      <c r="U100" s="4"/>
      <c r="V100" s="2"/>
      <c r="W100" s="2"/>
      <c r="X100" s="4"/>
      <c r="Y100" s="4"/>
    </row>
    <row r="101" spans="1:25" ht="28" customHeight="1">
      <c r="A101" s="2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5"/>
      <c r="M101" s="5"/>
      <c r="N101" s="5"/>
      <c r="O101" s="5"/>
      <c r="P101" s="7" t="str">
        <f t="shared" ca="1" si="2"/>
        <v/>
      </c>
      <c r="Q101" s="8" t="str">
        <f t="shared" ca="1" si="3"/>
        <v/>
      </c>
      <c r="R101" s="6"/>
      <c r="S101" s="4"/>
      <c r="T101" s="4"/>
      <c r="U101" s="4"/>
      <c r="V101" s="2"/>
      <c r="W101" s="2"/>
      <c r="X101" s="4"/>
      <c r="Y101" s="4"/>
    </row>
    <row r="102" spans="1:25" ht="28" customHeight="1">
      <c r="A102" s="2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5"/>
      <c r="M102" s="5"/>
      <c r="N102" s="5"/>
      <c r="O102" s="5"/>
      <c r="P102" s="7" t="str">
        <f t="shared" ca="1" si="2"/>
        <v/>
      </c>
      <c r="Q102" s="8" t="str">
        <f t="shared" ca="1" si="3"/>
        <v/>
      </c>
      <c r="R102" s="6"/>
      <c r="S102" s="4"/>
      <c r="T102" s="4"/>
      <c r="U102" s="4"/>
      <c r="V102" s="2"/>
      <c r="W102" s="2"/>
      <c r="X102" s="4"/>
      <c r="Y102" s="4"/>
    </row>
    <row r="103" spans="1:25" ht="28" customHeight="1">
      <c r="A103" s="2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5"/>
      <c r="M103" s="5"/>
      <c r="N103" s="5"/>
      <c r="O103" s="5"/>
      <c r="P103" s="7" t="str">
        <f t="shared" ca="1" si="2"/>
        <v/>
      </c>
      <c r="Q103" s="8" t="str">
        <f t="shared" ca="1" si="3"/>
        <v/>
      </c>
      <c r="R103" s="6"/>
      <c r="S103" s="4"/>
      <c r="T103" s="4"/>
      <c r="U103" s="4"/>
      <c r="V103" s="2"/>
      <c r="W103" s="2"/>
      <c r="X103" s="4"/>
      <c r="Y103" s="4"/>
    </row>
    <row r="104" spans="1:25" ht="28" customHeight="1">
      <c r="A104" s="2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5"/>
      <c r="M104" s="5"/>
      <c r="N104" s="5"/>
      <c r="O104" s="5"/>
      <c r="P104" s="7" t="str">
        <f t="shared" ca="1" si="2"/>
        <v/>
      </c>
      <c r="Q104" s="8" t="str">
        <f t="shared" ca="1" si="3"/>
        <v/>
      </c>
      <c r="R104" s="6"/>
      <c r="S104" s="4"/>
      <c r="T104" s="4"/>
      <c r="U104" s="4"/>
      <c r="V104" s="2"/>
      <c r="W104" s="2"/>
      <c r="X104" s="4"/>
      <c r="Y104" s="4"/>
    </row>
    <row r="105" spans="1:25" ht="28" customHeight="1">
      <c r="A105" s="2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5"/>
      <c r="M105" s="5"/>
      <c r="N105" s="5"/>
      <c r="O105" s="5"/>
      <c r="P105" s="7" t="str">
        <f t="shared" ca="1" si="2"/>
        <v/>
      </c>
      <c r="Q105" s="8" t="str">
        <f t="shared" ca="1" si="3"/>
        <v/>
      </c>
      <c r="R105" s="6"/>
      <c r="S105" s="4"/>
      <c r="T105" s="4"/>
      <c r="U105" s="4"/>
      <c r="V105" s="2"/>
      <c r="W105" s="2"/>
      <c r="X105" s="4"/>
      <c r="Y105" s="4"/>
    </row>
    <row r="106" spans="1:25" ht="28" customHeight="1">
      <c r="A106" s="2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5"/>
      <c r="M106" s="5"/>
      <c r="N106" s="5"/>
      <c r="O106" s="5"/>
      <c r="P106" s="7" t="str">
        <f t="shared" ca="1" si="2"/>
        <v/>
      </c>
      <c r="Q106" s="8" t="str">
        <f t="shared" ca="1" si="3"/>
        <v/>
      </c>
      <c r="R106" s="6"/>
      <c r="S106" s="4"/>
      <c r="T106" s="4"/>
      <c r="U106" s="4"/>
      <c r="V106" s="2"/>
      <c r="W106" s="2"/>
      <c r="X106" s="4"/>
      <c r="Y106" s="4"/>
    </row>
    <row r="107" spans="1:25" ht="28" customHeight="1">
      <c r="A107" s="2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5"/>
      <c r="M107" s="5"/>
      <c r="N107" s="5"/>
      <c r="O107" s="5"/>
      <c r="P107" s="7" t="str">
        <f t="shared" ca="1" si="2"/>
        <v/>
      </c>
      <c r="Q107" s="8" t="str">
        <f t="shared" ca="1" si="3"/>
        <v/>
      </c>
      <c r="R107" s="6"/>
      <c r="S107" s="4"/>
      <c r="T107" s="4"/>
      <c r="U107" s="4"/>
      <c r="V107" s="2"/>
      <c r="W107" s="2"/>
      <c r="X107" s="4"/>
      <c r="Y107" s="4"/>
    </row>
    <row r="108" spans="1:25" ht="28" customHeight="1">
      <c r="A108" s="2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5"/>
      <c r="M108" s="5"/>
      <c r="N108" s="5"/>
      <c r="O108" s="5"/>
      <c r="P108" s="7" t="str">
        <f t="shared" ca="1" si="2"/>
        <v/>
      </c>
      <c r="Q108" s="8" t="str">
        <f t="shared" ca="1" si="3"/>
        <v/>
      </c>
      <c r="R108" s="6"/>
      <c r="S108" s="4"/>
      <c r="T108" s="4"/>
      <c r="U108" s="4"/>
      <c r="V108" s="2"/>
      <c r="W108" s="2"/>
      <c r="X108" s="4"/>
      <c r="Y108" s="4"/>
    </row>
    <row r="109" spans="1:25" ht="28" customHeight="1">
      <c r="A109" s="2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5"/>
      <c r="M109" s="5"/>
      <c r="N109" s="5"/>
      <c r="O109" s="5"/>
      <c r="P109" s="7" t="str">
        <f t="shared" ca="1" si="2"/>
        <v/>
      </c>
      <c r="Q109" s="8" t="str">
        <f t="shared" ca="1" si="3"/>
        <v/>
      </c>
      <c r="R109" s="6"/>
      <c r="S109" s="4"/>
      <c r="T109" s="4"/>
      <c r="U109" s="4"/>
      <c r="V109" s="2"/>
      <c r="W109" s="2"/>
      <c r="X109" s="4"/>
      <c r="Y109" s="4"/>
    </row>
    <row r="110" spans="1:25" ht="28" customHeight="1">
      <c r="A110" s="2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5"/>
      <c r="M110" s="5"/>
      <c r="N110" s="5"/>
      <c r="O110" s="5"/>
      <c r="P110" s="7" t="str">
        <f t="shared" ca="1" si="2"/>
        <v/>
      </c>
      <c r="Q110" s="8" t="str">
        <f t="shared" ca="1" si="3"/>
        <v/>
      </c>
      <c r="R110" s="6"/>
      <c r="S110" s="4"/>
      <c r="T110" s="4"/>
      <c r="U110" s="4"/>
      <c r="V110" s="2"/>
      <c r="W110" s="2"/>
      <c r="X110" s="4"/>
      <c r="Y110" s="4"/>
    </row>
    <row r="111" spans="1:25" ht="28" customHeight="1">
      <c r="A111" s="2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5"/>
      <c r="M111" s="5"/>
      <c r="N111" s="5"/>
      <c r="O111" s="5"/>
      <c r="P111" s="7" t="str">
        <f t="shared" ca="1" si="2"/>
        <v/>
      </c>
      <c r="Q111" s="8" t="str">
        <f t="shared" ca="1" si="3"/>
        <v/>
      </c>
      <c r="R111" s="6"/>
      <c r="S111" s="4"/>
      <c r="T111" s="4"/>
      <c r="U111" s="4"/>
      <c r="V111" s="2"/>
      <c r="W111" s="2"/>
      <c r="X111" s="4"/>
      <c r="Y111" s="4"/>
    </row>
    <row r="112" spans="1:25" ht="28" customHeight="1">
      <c r="A112" s="2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5"/>
      <c r="M112" s="5"/>
      <c r="N112" s="5"/>
      <c r="O112" s="5"/>
      <c r="P112" s="7" t="str">
        <f t="shared" ca="1" si="2"/>
        <v/>
      </c>
      <c r="Q112" s="8" t="str">
        <f t="shared" ca="1" si="3"/>
        <v/>
      </c>
      <c r="R112" s="6"/>
      <c r="S112" s="4"/>
      <c r="T112" s="4"/>
      <c r="U112" s="4"/>
      <c r="V112" s="2"/>
      <c r="W112" s="2"/>
      <c r="X112" s="4"/>
      <c r="Y112" s="4"/>
    </row>
    <row r="113" spans="1:25" ht="28" customHeight="1">
      <c r="A113" s="2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5"/>
      <c r="M113" s="5"/>
      <c r="N113" s="5"/>
      <c r="O113" s="5"/>
      <c r="P113" s="7" t="str">
        <f t="shared" ca="1" si="2"/>
        <v/>
      </c>
      <c r="Q113" s="8" t="str">
        <f t="shared" ca="1" si="3"/>
        <v/>
      </c>
      <c r="R113" s="6"/>
      <c r="S113" s="4"/>
      <c r="T113" s="4"/>
      <c r="U113" s="4"/>
      <c r="V113" s="2"/>
      <c r="W113" s="2"/>
      <c r="X113" s="4"/>
      <c r="Y113" s="4"/>
    </row>
    <row r="114" spans="1:25" ht="28" customHeight="1">
      <c r="A114" s="2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5"/>
      <c r="M114" s="5"/>
      <c r="N114" s="5"/>
      <c r="O114" s="5"/>
      <c r="P114" s="7" t="str">
        <f t="shared" ca="1" si="2"/>
        <v/>
      </c>
      <c r="Q114" s="8" t="str">
        <f t="shared" ca="1" si="3"/>
        <v/>
      </c>
      <c r="R114" s="6"/>
      <c r="S114" s="4"/>
      <c r="T114" s="4"/>
      <c r="U114" s="4"/>
      <c r="V114" s="2"/>
      <c r="W114" s="2"/>
      <c r="X114" s="4"/>
      <c r="Y114" s="4"/>
    </row>
    <row r="115" spans="1:25" ht="28" customHeight="1">
      <c r="A115" s="2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5"/>
      <c r="M115" s="5"/>
      <c r="N115" s="5"/>
      <c r="O115" s="5"/>
      <c r="P115" s="7" t="str">
        <f t="shared" ca="1" si="2"/>
        <v/>
      </c>
      <c r="Q115" s="8" t="str">
        <f t="shared" ca="1" si="3"/>
        <v/>
      </c>
      <c r="R115" s="6"/>
      <c r="S115" s="4"/>
      <c r="T115" s="4"/>
      <c r="U115" s="4"/>
      <c r="V115" s="2"/>
      <c r="W115" s="2"/>
      <c r="X115" s="4"/>
      <c r="Y115" s="4"/>
    </row>
    <row r="116" spans="1:25" ht="28" customHeight="1">
      <c r="A116" s="2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5"/>
      <c r="M116" s="5"/>
      <c r="N116" s="5"/>
      <c r="O116" s="5"/>
      <c r="P116" s="7" t="str">
        <f t="shared" ca="1" si="2"/>
        <v/>
      </c>
      <c r="Q116" s="8" t="str">
        <f t="shared" ca="1" si="3"/>
        <v/>
      </c>
      <c r="R116" s="6"/>
      <c r="S116" s="4"/>
      <c r="T116" s="4"/>
      <c r="U116" s="4"/>
      <c r="V116" s="2"/>
      <c r="W116" s="2"/>
      <c r="X116" s="4"/>
      <c r="Y116" s="4"/>
    </row>
    <row r="117" spans="1:25" ht="28" customHeight="1">
      <c r="A117" s="2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5"/>
      <c r="M117" s="5"/>
      <c r="N117" s="5"/>
      <c r="O117" s="5"/>
      <c r="P117" s="7" t="str">
        <f t="shared" ca="1" si="2"/>
        <v/>
      </c>
      <c r="Q117" s="8" t="str">
        <f t="shared" ca="1" si="3"/>
        <v/>
      </c>
      <c r="R117" s="6"/>
      <c r="S117" s="4"/>
      <c r="T117" s="4"/>
      <c r="U117" s="4"/>
      <c r="V117" s="2"/>
      <c r="W117" s="2"/>
      <c r="X117" s="4"/>
      <c r="Y117" s="4"/>
    </row>
    <row r="118" spans="1:25" ht="28" customHeight="1">
      <c r="A118" s="2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5"/>
      <c r="M118" s="5"/>
      <c r="N118" s="5"/>
      <c r="O118" s="5"/>
      <c r="P118" s="7" t="str">
        <f t="shared" ca="1" si="2"/>
        <v/>
      </c>
      <c r="Q118" s="8" t="str">
        <f t="shared" ca="1" si="3"/>
        <v/>
      </c>
      <c r="R118" s="6"/>
      <c r="S118" s="4"/>
      <c r="T118" s="4"/>
      <c r="U118" s="4"/>
      <c r="V118" s="2"/>
      <c r="W118" s="2"/>
      <c r="X118" s="4"/>
      <c r="Y118" s="4"/>
    </row>
    <row r="119" spans="1:25" ht="28" customHeight="1">
      <c r="A119" s="2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5"/>
      <c r="M119" s="5"/>
      <c r="N119" s="5"/>
      <c r="O119" s="5"/>
      <c r="P119" s="7" t="str">
        <f t="shared" ca="1" si="2"/>
        <v/>
      </c>
      <c r="Q119" s="8" t="str">
        <f t="shared" ca="1" si="3"/>
        <v/>
      </c>
      <c r="R119" s="6"/>
      <c r="S119" s="4"/>
      <c r="T119" s="4"/>
      <c r="U119" s="4"/>
      <c r="V119" s="2"/>
      <c r="W119" s="2"/>
      <c r="X119" s="4"/>
      <c r="Y119" s="4"/>
    </row>
    <row r="120" spans="1:25" ht="28" customHeight="1">
      <c r="A120" s="2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5"/>
      <c r="M120" s="5"/>
      <c r="N120" s="5"/>
      <c r="O120" s="5"/>
      <c r="P120" s="7" t="str">
        <f t="shared" ca="1" si="2"/>
        <v/>
      </c>
      <c r="Q120" s="8" t="str">
        <f t="shared" ca="1" si="3"/>
        <v/>
      </c>
      <c r="R120" s="6"/>
      <c r="S120" s="4"/>
      <c r="T120" s="4"/>
      <c r="U120" s="4"/>
      <c r="V120" s="2"/>
      <c r="W120" s="2"/>
      <c r="X120" s="4"/>
      <c r="Y120" s="4"/>
    </row>
    <row r="121" spans="1:25" ht="28" customHeight="1">
      <c r="A121" s="2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5"/>
      <c r="M121" s="5"/>
      <c r="N121" s="5"/>
      <c r="O121" s="5"/>
      <c r="P121" s="7" t="str">
        <f t="shared" ca="1" si="2"/>
        <v/>
      </c>
      <c r="Q121" s="8" t="str">
        <f t="shared" ca="1" si="3"/>
        <v/>
      </c>
      <c r="R121" s="6"/>
      <c r="S121" s="4"/>
      <c r="T121" s="4"/>
      <c r="U121" s="4"/>
      <c r="V121" s="2"/>
      <c r="W121" s="2"/>
      <c r="X121" s="4"/>
      <c r="Y121" s="4"/>
    </row>
    <row r="122" spans="1:25" ht="28" customHeight="1">
      <c r="A122" s="2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5"/>
      <c r="M122" s="5"/>
      <c r="N122" s="5"/>
      <c r="O122" s="5"/>
      <c r="P122" s="7" t="str">
        <f t="shared" ca="1" si="2"/>
        <v/>
      </c>
      <c r="Q122" s="8" t="str">
        <f t="shared" ca="1" si="3"/>
        <v/>
      </c>
      <c r="R122" s="6"/>
      <c r="S122" s="4"/>
      <c r="T122" s="4"/>
      <c r="U122" s="4"/>
      <c r="V122" s="2"/>
      <c r="W122" s="2"/>
      <c r="X122" s="4"/>
      <c r="Y122" s="4"/>
    </row>
    <row r="123" spans="1:25" ht="28" customHeight="1">
      <c r="A123" s="2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5"/>
      <c r="M123" s="5"/>
      <c r="N123" s="5"/>
      <c r="O123" s="5"/>
      <c r="P123" s="7" t="str">
        <f t="shared" ca="1" si="2"/>
        <v/>
      </c>
      <c r="Q123" s="8" t="str">
        <f t="shared" ca="1" si="3"/>
        <v/>
      </c>
      <c r="R123" s="6"/>
      <c r="S123" s="4"/>
      <c r="T123" s="4"/>
      <c r="U123" s="4"/>
      <c r="V123" s="2"/>
      <c r="W123" s="2"/>
      <c r="X123" s="4"/>
      <c r="Y123" s="4"/>
    </row>
    <row r="124" spans="1:25" ht="28" customHeight="1">
      <c r="A124" s="2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5"/>
      <c r="M124" s="5"/>
      <c r="N124" s="5"/>
      <c r="O124" s="5"/>
      <c r="P124" s="7" t="str">
        <f t="shared" ca="1" si="2"/>
        <v/>
      </c>
      <c r="Q124" s="8" t="str">
        <f t="shared" ca="1" si="3"/>
        <v/>
      </c>
      <c r="R124" s="6"/>
      <c r="S124" s="4"/>
      <c r="T124" s="4"/>
      <c r="U124" s="4"/>
      <c r="V124" s="2"/>
      <c r="W124" s="2"/>
      <c r="X124" s="4"/>
      <c r="Y124" s="4"/>
    </row>
    <row r="125" spans="1:25" ht="28" customHeight="1">
      <c r="A125" s="2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5"/>
      <c r="M125" s="5"/>
      <c r="N125" s="5"/>
      <c r="O125" s="5"/>
      <c r="P125" s="7" t="str">
        <f t="shared" ca="1" si="2"/>
        <v/>
      </c>
      <c r="Q125" s="8" t="str">
        <f t="shared" ca="1" si="3"/>
        <v/>
      </c>
      <c r="R125" s="6"/>
      <c r="S125" s="4"/>
      <c r="T125" s="4"/>
      <c r="U125" s="4"/>
      <c r="V125" s="2"/>
      <c r="W125" s="2"/>
      <c r="X125" s="4"/>
      <c r="Y125" s="4"/>
    </row>
    <row r="126" spans="1:25" ht="28" customHeight="1">
      <c r="A126" s="2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5"/>
      <c r="M126" s="5"/>
      <c r="N126" s="5"/>
      <c r="O126" s="5"/>
      <c r="P126" s="7" t="str">
        <f t="shared" ca="1" si="2"/>
        <v/>
      </c>
      <c r="Q126" s="8" t="str">
        <f t="shared" ca="1" si="3"/>
        <v/>
      </c>
      <c r="R126" s="6"/>
      <c r="S126" s="4"/>
      <c r="T126" s="4"/>
      <c r="U126" s="4"/>
      <c r="V126" s="2"/>
      <c r="W126" s="2"/>
      <c r="X126" s="4"/>
      <c r="Y126" s="4"/>
    </row>
    <row r="127" spans="1:25" ht="28" customHeight="1">
      <c r="A127" s="2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5"/>
      <c r="M127" s="5"/>
      <c r="N127" s="5"/>
      <c r="O127" s="5"/>
      <c r="P127" s="7" t="str">
        <f t="shared" ca="1" si="2"/>
        <v/>
      </c>
      <c r="Q127" s="8" t="str">
        <f t="shared" ca="1" si="3"/>
        <v/>
      </c>
      <c r="R127" s="6"/>
      <c r="S127" s="4"/>
      <c r="T127" s="4"/>
      <c r="U127" s="4"/>
      <c r="V127" s="2"/>
      <c r="W127" s="2"/>
      <c r="X127" s="4"/>
      <c r="Y127" s="4"/>
    </row>
    <row r="128" spans="1:25" ht="28" customHeight="1">
      <c r="A128" s="2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5"/>
      <c r="M128" s="5"/>
      <c r="N128" s="5"/>
      <c r="O128" s="5"/>
      <c r="P128" s="7" t="str">
        <f t="shared" ca="1" si="2"/>
        <v/>
      </c>
      <c r="Q128" s="8" t="str">
        <f t="shared" ca="1" si="3"/>
        <v/>
      </c>
      <c r="R128" s="6"/>
      <c r="S128" s="4"/>
      <c r="T128" s="4"/>
      <c r="U128" s="4"/>
      <c r="V128" s="2"/>
      <c r="W128" s="2"/>
      <c r="X128" s="4"/>
      <c r="Y128" s="4"/>
    </row>
    <row r="129" spans="1:25" ht="28" customHeight="1">
      <c r="A129" s="2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5"/>
      <c r="M129" s="5"/>
      <c r="N129" s="5"/>
      <c r="O129" s="5"/>
      <c r="P129" s="7" t="str">
        <f t="shared" ca="1" si="2"/>
        <v/>
      </c>
      <c r="Q129" s="8" t="str">
        <f t="shared" ca="1" si="3"/>
        <v/>
      </c>
      <c r="R129" s="6"/>
      <c r="S129" s="4"/>
      <c r="T129" s="4"/>
      <c r="U129" s="4"/>
      <c r="V129" s="2"/>
      <c r="W129" s="2"/>
      <c r="X129" s="4"/>
      <c r="Y129" s="4"/>
    </row>
    <row r="130" spans="1:25" ht="28" customHeight="1">
      <c r="A130" s="2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5"/>
      <c r="M130" s="5"/>
      <c r="N130" s="5"/>
      <c r="O130" s="5"/>
      <c r="P130" s="7" t="str">
        <f t="shared" ca="1" si="2"/>
        <v/>
      </c>
      <c r="Q130" s="8" t="str">
        <f t="shared" ca="1" si="3"/>
        <v/>
      </c>
      <c r="R130" s="6"/>
      <c r="S130" s="4"/>
      <c r="T130" s="4"/>
      <c r="U130" s="4"/>
      <c r="V130" s="2"/>
      <c r="W130" s="2"/>
      <c r="X130" s="4"/>
      <c r="Y130" s="4"/>
    </row>
    <row r="131" spans="1:25" ht="28" customHeight="1">
      <c r="A131" s="2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5"/>
      <c r="M131" s="5"/>
      <c r="N131" s="5"/>
      <c r="O131" s="5"/>
      <c r="P131" s="7" t="str">
        <f t="shared" ca="1" si="2"/>
        <v/>
      </c>
      <c r="Q131" s="8" t="str">
        <f t="shared" ca="1" si="3"/>
        <v/>
      </c>
      <c r="R131" s="6"/>
      <c r="S131" s="4"/>
      <c r="T131" s="4"/>
      <c r="U131" s="4"/>
      <c r="V131" s="2"/>
      <c r="W131" s="2"/>
      <c r="X131" s="4"/>
      <c r="Y131" s="4"/>
    </row>
    <row r="132" spans="1:25" ht="28" customHeight="1">
      <c r="A132" s="2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5"/>
      <c r="M132" s="5"/>
      <c r="N132" s="5"/>
      <c r="O132" s="5"/>
      <c r="P132" s="7" t="str">
        <f t="shared" ca="1" si="2"/>
        <v/>
      </c>
      <c r="Q132" s="8" t="str">
        <f t="shared" ca="1" si="3"/>
        <v/>
      </c>
      <c r="R132" s="6"/>
      <c r="S132" s="4"/>
      <c r="T132" s="4"/>
      <c r="U132" s="4"/>
      <c r="V132" s="2"/>
      <c r="W132" s="2"/>
      <c r="X132" s="4"/>
      <c r="Y132" s="4"/>
    </row>
    <row r="133" spans="1:25" ht="28" customHeight="1">
      <c r="A133" s="2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5"/>
      <c r="M133" s="5"/>
      <c r="N133" s="5"/>
      <c r="O133" s="5"/>
      <c r="P133" s="7" t="str">
        <f t="shared" ca="1" si="2"/>
        <v/>
      </c>
      <c r="Q133" s="8" t="str">
        <f t="shared" ca="1" si="3"/>
        <v/>
      </c>
      <c r="R133" s="6"/>
      <c r="S133" s="4"/>
      <c r="T133" s="4"/>
      <c r="U133" s="4"/>
      <c r="V133" s="2"/>
      <c r="W133" s="2"/>
      <c r="X133" s="4"/>
      <c r="Y133" s="4"/>
    </row>
    <row r="134" spans="1:25" ht="28" customHeight="1">
      <c r="A134" s="2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5"/>
      <c r="M134" s="5"/>
      <c r="N134" s="5"/>
      <c r="O134" s="5"/>
      <c r="P134" s="7" t="str">
        <f t="shared" ca="1" si="2"/>
        <v/>
      </c>
      <c r="Q134" s="8" t="str">
        <f t="shared" ca="1" si="3"/>
        <v/>
      </c>
      <c r="R134" s="6"/>
      <c r="S134" s="4"/>
      <c r="T134" s="4"/>
      <c r="U134" s="4"/>
      <c r="V134" s="2"/>
      <c r="W134" s="2"/>
      <c r="X134" s="4"/>
      <c r="Y134" s="4"/>
    </row>
    <row r="135" spans="1:25" ht="28" customHeight="1">
      <c r="A135" s="2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5"/>
      <c r="M135" s="5"/>
      <c r="N135" s="5"/>
      <c r="O135" s="5"/>
      <c r="P135" s="7" t="str">
        <f t="shared" ref="P135:P198" ca="1" si="4">IF(A135="","",IF(L135="","",MAX(0,IF(O135&lt;&gt;"",O135,TODAY())-L135)))</f>
        <v/>
      </c>
      <c r="Q135" s="8" t="str">
        <f t="shared" ref="Q135:Q198" ca="1" si="5">IF(A135="","",IF(OR(G135="Closed",G135="Duplicate",G135="Won't Fix"),"Hoàn tất",IF(M135="","Chưa đặt hạn",IF(TODAY()&gt;M135,"Quá hạn",IF(TODAY()=M135,"Đến hạn","Trong hạn")))))</f>
        <v/>
      </c>
      <c r="R135" s="6"/>
      <c r="S135" s="4"/>
      <c r="T135" s="4"/>
      <c r="U135" s="4"/>
      <c r="V135" s="2"/>
      <c r="W135" s="2"/>
      <c r="X135" s="4"/>
      <c r="Y135" s="4"/>
    </row>
    <row r="136" spans="1:25" ht="28" customHeight="1">
      <c r="A136" s="2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5"/>
      <c r="M136" s="5"/>
      <c r="N136" s="5"/>
      <c r="O136" s="5"/>
      <c r="P136" s="7" t="str">
        <f t="shared" ca="1" si="4"/>
        <v/>
      </c>
      <c r="Q136" s="8" t="str">
        <f t="shared" ca="1" si="5"/>
        <v/>
      </c>
      <c r="R136" s="6"/>
      <c r="S136" s="4"/>
      <c r="T136" s="4"/>
      <c r="U136" s="4"/>
      <c r="V136" s="2"/>
      <c r="W136" s="2"/>
      <c r="X136" s="4"/>
      <c r="Y136" s="4"/>
    </row>
    <row r="137" spans="1:25" ht="28" customHeight="1">
      <c r="A137" s="2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5"/>
      <c r="M137" s="5"/>
      <c r="N137" s="5"/>
      <c r="O137" s="5"/>
      <c r="P137" s="7" t="str">
        <f t="shared" ca="1" si="4"/>
        <v/>
      </c>
      <c r="Q137" s="8" t="str">
        <f t="shared" ca="1" si="5"/>
        <v/>
      </c>
      <c r="R137" s="6"/>
      <c r="S137" s="4"/>
      <c r="T137" s="4"/>
      <c r="U137" s="4"/>
      <c r="V137" s="2"/>
      <c r="W137" s="2"/>
      <c r="X137" s="4"/>
      <c r="Y137" s="4"/>
    </row>
    <row r="138" spans="1:25" ht="28" customHeight="1">
      <c r="A138" s="2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5"/>
      <c r="M138" s="5"/>
      <c r="N138" s="5"/>
      <c r="O138" s="5"/>
      <c r="P138" s="7" t="str">
        <f t="shared" ca="1" si="4"/>
        <v/>
      </c>
      <c r="Q138" s="8" t="str">
        <f t="shared" ca="1" si="5"/>
        <v/>
      </c>
      <c r="R138" s="6"/>
      <c r="S138" s="4"/>
      <c r="T138" s="4"/>
      <c r="U138" s="4"/>
      <c r="V138" s="2"/>
      <c r="W138" s="2"/>
      <c r="X138" s="4"/>
      <c r="Y138" s="4"/>
    </row>
    <row r="139" spans="1:25" ht="28" customHeight="1">
      <c r="A139" s="2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5"/>
      <c r="M139" s="5"/>
      <c r="N139" s="5"/>
      <c r="O139" s="5"/>
      <c r="P139" s="7" t="str">
        <f t="shared" ca="1" si="4"/>
        <v/>
      </c>
      <c r="Q139" s="8" t="str">
        <f t="shared" ca="1" si="5"/>
        <v/>
      </c>
      <c r="R139" s="6"/>
      <c r="S139" s="4"/>
      <c r="T139" s="4"/>
      <c r="U139" s="4"/>
      <c r="V139" s="2"/>
      <c r="W139" s="2"/>
      <c r="X139" s="4"/>
      <c r="Y139" s="4"/>
    </row>
    <row r="140" spans="1:25" ht="28" customHeight="1">
      <c r="A140" s="2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5"/>
      <c r="M140" s="5"/>
      <c r="N140" s="5"/>
      <c r="O140" s="5"/>
      <c r="P140" s="7" t="str">
        <f t="shared" ca="1" si="4"/>
        <v/>
      </c>
      <c r="Q140" s="8" t="str">
        <f t="shared" ca="1" si="5"/>
        <v/>
      </c>
      <c r="R140" s="6"/>
      <c r="S140" s="4"/>
      <c r="T140" s="4"/>
      <c r="U140" s="4"/>
      <c r="V140" s="2"/>
      <c r="W140" s="2"/>
      <c r="X140" s="4"/>
      <c r="Y140" s="4"/>
    </row>
    <row r="141" spans="1:25" ht="28" customHeight="1">
      <c r="A141" s="2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5"/>
      <c r="M141" s="5"/>
      <c r="N141" s="5"/>
      <c r="O141" s="5"/>
      <c r="P141" s="7" t="str">
        <f t="shared" ca="1" si="4"/>
        <v/>
      </c>
      <c r="Q141" s="8" t="str">
        <f t="shared" ca="1" si="5"/>
        <v/>
      </c>
      <c r="R141" s="6"/>
      <c r="S141" s="4"/>
      <c r="T141" s="4"/>
      <c r="U141" s="4"/>
      <c r="V141" s="2"/>
      <c r="W141" s="2"/>
      <c r="X141" s="4"/>
      <c r="Y141" s="4"/>
    </row>
    <row r="142" spans="1:25" ht="28" customHeight="1">
      <c r="A142" s="2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5"/>
      <c r="M142" s="5"/>
      <c r="N142" s="5"/>
      <c r="O142" s="5"/>
      <c r="P142" s="7" t="str">
        <f t="shared" ca="1" si="4"/>
        <v/>
      </c>
      <c r="Q142" s="8" t="str">
        <f t="shared" ca="1" si="5"/>
        <v/>
      </c>
      <c r="R142" s="6"/>
      <c r="S142" s="4"/>
      <c r="T142" s="4"/>
      <c r="U142" s="4"/>
      <c r="V142" s="2"/>
      <c r="W142" s="2"/>
      <c r="X142" s="4"/>
      <c r="Y142" s="4"/>
    </row>
    <row r="143" spans="1:25" ht="28" customHeight="1">
      <c r="A143" s="2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5"/>
      <c r="M143" s="5"/>
      <c r="N143" s="5"/>
      <c r="O143" s="5"/>
      <c r="P143" s="7" t="str">
        <f t="shared" ca="1" si="4"/>
        <v/>
      </c>
      <c r="Q143" s="8" t="str">
        <f t="shared" ca="1" si="5"/>
        <v/>
      </c>
      <c r="R143" s="6"/>
      <c r="S143" s="4"/>
      <c r="T143" s="4"/>
      <c r="U143" s="4"/>
      <c r="V143" s="2"/>
      <c r="W143" s="2"/>
      <c r="X143" s="4"/>
      <c r="Y143" s="4"/>
    </row>
    <row r="144" spans="1:25" ht="28" customHeight="1">
      <c r="A144" s="2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5"/>
      <c r="M144" s="5"/>
      <c r="N144" s="5"/>
      <c r="O144" s="5"/>
      <c r="P144" s="7" t="str">
        <f t="shared" ca="1" si="4"/>
        <v/>
      </c>
      <c r="Q144" s="8" t="str">
        <f t="shared" ca="1" si="5"/>
        <v/>
      </c>
      <c r="R144" s="6"/>
      <c r="S144" s="4"/>
      <c r="T144" s="4"/>
      <c r="U144" s="4"/>
      <c r="V144" s="2"/>
      <c r="W144" s="2"/>
      <c r="X144" s="4"/>
      <c r="Y144" s="4"/>
    </row>
    <row r="145" spans="1:25" ht="28" customHeight="1">
      <c r="A145" s="2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5"/>
      <c r="M145" s="5"/>
      <c r="N145" s="5"/>
      <c r="O145" s="5"/>
      <c r="P145" s="7" t="str">
        <f t="shared" ca="1" si="4"/>
        <v/>
      </c>
      <c r="Q145" s="8" t="str">
        <f t="shared" ca="1" si="5"/>
        <v/>
      </c>
      <c r="R145" s="6"/>
      <c r="S145" s="4"/>
      <c r="T145" s="4"/>
      <c r="U145" s="4"/>
      <c r="V145" s="2"/>
      <c r="W145" s="2"/>
      <c r="X145" s="4"/>
      <c r="Y145" s="4"/>
    </row>
    <row r="146" spans="1:25" ht="28" customHeight="1">
      <c r="A146" s="2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5"/>
      <c r="M146" s="5"/>
      <c r="N146" s="5"/>
      <c r="O146" s="5"/>
      <c r="P146" s="7" t="str">
        <f t="shared" ca="1" si="4"/>
        <v/>
      </c>
      <c r="Q146" s="8" t="str">
        <f t="shared" ca="1" si="5"/>
        <v/>
      </c>
      <c r="R146" s="6"/>
      <c r="S146" s="4"/>
      <c r="T146" s="4"/>
      <c r="U146" s="4"/>
      <c r="V146" s="2"/>
      <c r="W146" s="2"/>
      <c r="X146" s="4"/>
      <c r="Y146" s="4"/>
    </row>
    <row r="147" spans="1:25" ht="28" customHeight="1">
      <c r="A147" s="2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5"/>
      <c r="M147" s="5"/>
      <c r="N147" s="5"/>
      <c r="O147" s="5"/>
      <c r="P147" s="7" t="str">
        <f t="shared" ca="1" si="4"/>
        <v/>
      </c>
      <c r="Q147" s="8" t="str">
        <f t="shared" ca="1" si="5"/>
        <v/>
      </c>
      <c r="R147" s="6"/>
      <c r="S147" s="4"/>
      <c r="T147" s="4"/>
      <c r="U147" s="4"/>
      <c r="V147" s="2"/>
      <c r="W147" s="2"/>
      <c r="X147" s="4"/>
      <c r="Y147" s="4"/>
    </row>
    <row r="148" spans="1:25" ht="28" customHeight="1">
      <c r="A148" s="2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5"/>
      <c r="M148" s="5"/>
      <c r="N148" s="5"/>
      <c r="O148" s="5"/>
      <c r="P148" s="7" t="str">
        <f t="shared" ca="1" si="4"/>
        <v/>
      </c>
      <c r="Q148" s="8" t="str">
        <f t="shared" ca="1" si="5"/>
        <v/>
      </c>
      <c r="R148" s="6"/>
      <c r="S148" s="4"/>
      <c r="T148" s="4"/>
      <c r="U148" s="4"/>
      <c r="V148" s="2"/>
      <c r="W148" s="2"/>
      <c r="X148" s="4"/>
      <c r="Y148" s="4"/>
    </row>
    <row r="149" spans="1:25" ht="28" customHeight="1">
      <c r="A149" s="2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5"/>
      <c r="M149" s="5"/>
      <c r="N149" s="5"/>
      <c r="O149" s="5"/>
      <c r="P149" s="7" t="str">
        <f t="shared" ca="1" si="4"/>
        <v/>
      </c>
      <c r="Q149" s="8" t="str">
        <f t="shared" ca="1" si="5"/>
        <v/>
      </c>
      <c r="R149" s="6"/>
      <c r="S149" s="4"/>
      <c r="T149" s="4"/>
      <c r="U149" s="4"/>
      <c r="V149" s="2"/>
      <c r="W149" s="2"/>
      <c r="X149" s="4"/>
      <c r="Y149" s="4"/>
    </row>
    <row r="150" spans="1:25" ht="28" customHeight="1">
      <c r="A150" s="2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5"/>
      <c r="M150" s="5"/>
      <c r="N150" s="5"/>
      <c r="O150" s="5"/>
      <c r="P150" s="7" t="str">
        <f t="shared" ca="1" si="4"/>
        <v/>
      </c>
      <c r="Q150" s="8" t="str">
        <f t="shared" ca="1" si="5"/>
        <v/>
      </c>
      <c r="R150" s="6"/>
      <c r="S150" s="4"/>
      <c r="T150" s="4"/>
      <c r="U150" s="4"/>
      <c r="V150" s="2"/>
      <c r="W150" s="2"/>
      <c r="X150" s="4"/>
      <c r="Y150" s="4"/>
    </row>
    <row r="151" spans="1:25" ht="28" customHeight="1">
      <c r="A151" s="2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5"/>
      <c r="M151" s="5"/>
      <c r="N151" s="5"/>
      <c r="O151" s="5"/>
      <c r="P151" s="7" t="str">
        <f t="shared" ca="1" si="4"/>
        <v/>
      </c>
      <c r="Q151" s="8" t="str">
        <f t="shared" ca="1" si="5"/>
        <v/>
      </c>
      <c r="R151" s="6"/>
      <c r="S151" s="4"/>
      <c r="T151" s="4"/>
      <c r="U151" s="4"/>
      <c r="V151" s="2"/>
      <c r="W151" s="2"/>
      <c r="X151" s="4"/>
      <c r="Y151" s="4"/>
    </row>
    <row r="152" spans="1:25" ht="28" customHeight="1">
      <c r="A152" s="2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5"/>
      <c r="M152" s="5"/>
      <c r="N152" s="5"/>
      <c r="O152" s="5"/>
      <c r="P152" s="7" t="str">
        <f t="shared" ca="1" si="4"/>
        <v/>
      </c>
      <c r="Q152" s="8" t="str">
        <f t="shared" ca="1" si="5"/>
        <v/>
      </c>
      <c r="R152" s="6"/>
      <c r="S152" s="4"/>
      <c r="T152" s="4"/>
      <c r="U152" s="4"/>
      <c r="V152" s="2"/>
      <c r="W152" s="2"/>
      <c r="X152" s="4"/>
      <c r="Y152" s="4"/>
    </row>
    <row r="153" spans="1:25" ht="28" customHeight="1">
      <c r="A153" s="2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5"/>
      <c r="M153" s="5"/>
      <c r="N153" s="5"/>
      <c r="O153" s="5"/>
      <c r="P153" s="7" t="str">
        <f t="shared" ca="1" si="4"/>
        <v/>
      </c>
      <c r="Q153" s="8" t="str">
        <f t="shared" ca="1" si="5"/>
        <v/>
      </c>
      <c r="R153" s="6"/>
      <c r="S153" s="4"/>
      <c r="T153" s="4"/>
      <c r="U153" s="4"/>
      <c r="V153" s="2"/>
      <c r="W153" s="2"/>
      <c r="X153" s="4"/>
      <c r="Y153" s="4"/>
    </row>
    <row r="154" spans="1:25" ht="28" customHeight="1">
      <c r="A154" s="2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5"/>
      <c r="M154" s="5"/>
      <c r="N154" s="5"/>
      <c r="O154" s="5"/>
      <c r="P154" s="7" t="str">
        <f t="shared" ca="1" si="4"/>
        <v/>
      </c>
      <c r="Q154" s="8" t="str">
        <f t="shared" ca="1" si="5"/>
        <v/>
      </c>
      <c r="R154" s="6"/>
      <c r="S154" s="4"/>
      <c r="T154" s="4"/>
      <c r="U154" s="4"/>
      <c r="V154" s="2"/>
      <c r="W154" s="2"/>
      <c r="X154" s="4"/>
      <c r="Y154" s="4"/>
    </row>
    <row r="155" spans="1:25" ht="28" customHeight="1">
      <c r="A155" s="2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5"/>
      <c r="M155" s="5"/>
      <c r="N155" s="5"/>
      <c r="O155" s="5"/>
      <c r="P155" s="7" t="str">
        <f t="shared" ca="1" si="4"/>
        <v/>
      </c>
      <c r="Q155" s="8" t="str">
        <f t="shared" ca="1" si="5"/>
        <v/>
      </c>
      <c r="R155" s="6"/>
      <c r="S155" s="4"/>
      <c r="T155" s="4"/>
      <c r="U155" s="4"/>
      <c r="V155" s="2"/>
      <c r="W155" s="2"/>
      <c r="X155" s="4"/>
      <c r="Y155" s="4"/>
    </row>
    <row r="156" spans="1:25" ht="28" customHeight="1">
      <c r="A156" s="2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5"/>
      <c r="M156" s="5"/>
      <c r="N156" s="5"/>
      <c r="O156" s="5"/>
      <c r="P156" s="7" t="str">
        <f t="shared" ca="1" si="4"/>
        <v/>
      </c>
      <c r="Q156" s="8" t="str">
        <f t="shared" ca="1" si="5"/>
        <v/>
      </c>
      <c r="R156" s="6"/>
      <c r="S156" s="4"/>
      <c r="T156" s="4"/>
      <c r="U156" s="4"/>
      <c r="V156" s="2"/>
      <c r="W156" s="2"/>
      <c r="X156" s="4"/>
      <c r="Y156" s="4"/>
    </row>
    <row r="157" spans="1:25" ht="28" customHeight="1">
      <c r="A157" s="2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5"/>
      <c r="M157" s="5"/>
      <c r="N157" s="5"/>
      <c r="O157" s="5"/>
      <c r="P157" s="7" t="str">
        <f t="shared" ca="1" si="4"/>
        <v/>
      </c>
      <c r="Q157" s="8" t="str">
        <f t="shared" ca="1" si="5"/>
        <v/>
      </c>
      <c r="R157" s="6"/>
      <c r="S157" s="4"/>
      <c r="T157" s="4"/>
      <c r="U157" s="4"/>
      <c r="V157" s="2"/>
      <c r="W157" s="2"/>
      <c r="X157" s="4"/>
      <c r="Y157" s="4"/>
    </row>
    <row r="158" spans="1:25" ht="28" customHeight="1">
      <c r="A158" s="2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5"/>
      <c r="M158" s="5"/>
      <c r="N158" s="5"/>
      <c r="O158" s="5"/>
      <c r="P158" s="7" t="str">
        <f t="shared" ca="1" si="4"/>
        <v/>
      </c>
      <c r="Q158" s="8" t="str">
        <f t="shared" ca="1" si="5"/>
        <v/>
      </c>
      <c r="R158" s="6"/>
      <c r="S158" s="4"/>
      <c r="T158" s="4"/>
      <c r="U158" s="4"/>
      <c r="V158" s="2"/>
      <c r="W158" s="2"/>
      <c r="X158" s="4"/>
      <c r="Y158" s="4"/>
    </row>
    <row r="159" spans="1:25" ht="28" customHeight="1">
      <c r="A159" s="2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5"/>
      <c r="M159" s="5"/>
      <c r="N159" s="5"/>
      <c r="O159" s="5"/>
      <c r="P159" s="7" t="str">
        <f t="shared" ca="1" si="4"/>
        <v/>
      </c>
      <c r="Q159" s="8" t="str">
        <f t="shared" ca="1" si="5"/>
        <v/>
      </c>
      <c r="R159" s="6"/>
      <c r="S159" s="4"/>
      <c r="T159" s="4"/>
      <c r="U159" s="4"/>
      <c r="V159" s="2"/>
      <c r="W159" s="2"/>
      <c r="X159" s="4"/>
      <c r="Y159" s="4"/>
    </row>
    <row r="160" spans="1:25" ht="28" customHeight="1">
      <c r="A160" s="2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5"/>
      <c r="M160" s="5"/>
      <c r="N160" s="5"/>
      <c r="O160" s="5"/>
      <c r="P160" s="7" t="str">
        <f t="shared" ca="1" si="4"/>
        <v/>
      </c>
      <c r="Q160" s="8" t="str">
        <f t="shared" ca="1" si="5"/>
        <v/>
      </c>
      <c r="R160" s="6"/>
      <c r="S160" s="4"/>
      <c r="T160" s="4"/>
      <c r="U160" s="4"/>
      <c r="V160" s="2"/>
      <c r="W160" s="2"/>
      <c r="X160" s="4"/>
      <c r="Y160" s="4"/>
    </row>
    <row r="161" spans="1:25" ht="28" customHeight="1">
      <c r="A161" s="2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5"/>
      <c r="M161" s="5"/>
      <c r="N161" s="5"/>
      <c r="O161" s="5"/>
      <c r="P161" s="7" t="str">
        <f t="shared" ca="1" si="4"/>
        <v/>
      </c>
      <c r="Q161" s="8" t="str">
        <f t="shared" ca="1" si="5"/>
        <v/>
      </c>
      <c r="R161" s="6"/>
      <c r="S161" s="4"/>
      <c r="T161" s="4"/>
      <c r="U161" s="4"/>
      <c r="V161" s="2"/>
      <c r="W161" s="2"/>
      <c r="X161" s="4"/>
      <c r="Y161" s="4"/>
    </row>
    <row r="162" spans="1:25" ht="28" customHeight="1">
      <c r="A162" s="2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5"/>
      <c r="M162" s="5"/>
      <c r="N162" s="5"/>
      <c r="O162" s="5"/>
      <c r="P162" s="7" t="str">
        <f t="shared" ca="1" si="4"/>
        <v/>
      </c>
      <c r="Q162" s="8" t="str">
        <f t="shared" ca="1" si="5"/>
        <v/>
      </c>
      <c r="R162" s="6"/>
      <c r="S162" s="4"/>
      <c r="T162" s="4"/>
      <c r="U162" s="4"/>
      <c r="V162" s="2"/>
      <c r="W162" s="2"/>
      <c r="X162" s="4"/>
      <c r="Y162" s="4"/>
    </row>
    <row r="163" spans="1:25" ht="28" customHeight="1">
      <c r="A163" s="2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5"/>
      <c r="M163" s="5"/>
      <c r="N163" s="5"/>
      <c r="O163" s="5"/>
      <c r="P163" s="7" t="str">
        <f t="shared" ca="1" si="4"/>
        <v/>
      </c>
      <c r="Q163" s="8" t="str">
        <f t="shared" ca="1" si="5"/>
        <v/>
      </c>
      <c r="R163" s="6"/>
      <c r="S163" s="4"/>
      <c r="T163" s="4"/>
      <c r="U163" s="4"/>
      <c r="V163" s="2"/>
      <c r="W163" s="2"/>
      <c r="X163" s="4"/>
      <c r="Y163" s="4"/>
    </row>
    <row r="164" spans="1:25" ht="28" customHeight="1">
      <c r="A164" s="2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5"/>
      <c r="M164" s="5"/>
      <c r="N164" s="5"/>
      <c r="O164" s="5"/>
      <c r="P164" s="7" t="str">
        <f t="shared" ca="1" si="4"/>
        <v/>
      </c>
      <c r="Q164" s="8" t="str">
        <f t="shared" ca="1" si="5"/>
        <v/>
      </c>
      <c r="R164" s="6"/>
      <c r="S164" s="4"/>
      <c r="T164" s="4"/>
      <c r="U164" s="4"/>
      <c r="V164" s="2"/>
      <c r="W164" s="2"/>
      <c r="X164" s="4"/>
      <c r="Y164" s="4"/>
    </row>
    <row r="165" spans="1:25" ht="28" customHeight="1">
      <c r="A165" s="2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5"/>
      <c r="M165" s="5"/>
      <c r="N165" s="5"/>
      <c r="O165" s="5"/>
      <c r="P165" s="7" t="str">
        <f t="shared" ca="1" si="4"/>
        <v/>
      </c>
      <c r="Q165" s="8" t="str">
        <f t="shared" ca="1" si="5"/>
        <v/>
      </c>
      <c r="R165" s="6"/>
      <c r="S165" s="4"/>
      <c r="T165" s="4"/>
      <c r="U165" s="4"/>
      <c r="V165" s="2"/>
      <c r="W165" s="2"/>
      <c r="X165" s="4"/>
      <c r="Y165" s="4"/>
    </row>
    <row r="166" spans="1:25" ht="28" customHeight="1">
      <c r="A166" s="2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5"/>
      <c r="M166" s="5"/>
      <c r="N166" s="5"/>
      <c r="O166" s="5"/>
      <c r="P166" s="7" t="str">
        <f t="shared" ca="1" si="4"/>
        <v/>
      </c>
      <c r="Q166" s="8" t="str">
        <f t="shared" ca="1" si="5"/>
        <v/>
      </c>
      <c r="R166" s="6"/>
      <c r="S166" s="4"/>
      <c r="T166" s="4"/>
      <c r="U166" s="4"/>
      <c r="V166" s="2"/>
      <c r="W166" s="2"/>
      <c r="X166" s="4"/>
      <c r="Y166" s="4"/>
    </row>
    <row r="167" spans="1:25" ht="28" customHeight="1">
      <c r="A167" s="2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5"/>
      <c r="M167" s="5"/>
      <c r="N167" s="5"/>
      <c r="O167" s="5"/>
      <c r="P167" s="7" t="str">
        <f t="shared" ca="1" si="4"/>
        <v/>
      </c>
      <c r="Q167" s="8" t="str">
        <f t="shared" ca="1" si="5"/>
        <v/>
      </c>
      <c r="R167" s="6"/>
      <c r="S167" s="4"/>
      <c r="T167" s="4"/>
      <c r="U167" s="4"/>
      <c r="V167" s="2"/>
      <c r="W167" s="2"/>
      <c r="X167" s="4"/>
      <c r="Y167" s="4"/>
    </row>
    <row r="168" spans="1:25" ht="28" customHeight="1">
      <c r="A168" s="2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5"/>
      <c r="M168" s="5"/>
      <c r="N168" s="5"/>
      <c r="O168" s="5"/>
      <c r="P168" s="7" t="str">
        <f t="shared" ca="1" si="4"/>
        <v/>
      </c>
      <c r="Q168" s="8" t="str">
        <f t="shared" ca="1" si="5"/>
        <v/>
      </c>
      <c r="R168" s="6"/>
      <c r="S168" s="4"/>
      <c r="T168" s="4"/>
      <c r="U168" s="4"/>
      <c r="V168" s="2"/>
      <c r="W168" s="2"/>
      <c r="X168" s="4"/>
      <c r="Y168" s="4"/>
    </row>
    <row r="169" spans="1:25" ht="28" customHeight="1">
      <c r="A169" s="2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5"/>
      <c r="M169" s="5"/>
      <c r="N169" s="5"/>
      <c r="O169" s="5"/>
      <c r="P169" s="7" t="str">
        <f t="shared" ca="1" si="4"/>
        <v/>
      </c>
      <c r="Q169" s="8" t="str">
        <f t="shared" ca="1" si="5"/>
        <v/>
      </c>
      <c r="R169" s="6"/>
      <c r="S169" s="4"/>
      <c r="T169" s="4"/>
      <c r="U169" s="4"/>
      <c r="V169" s="2"/>
      <c r="W169" s="2"/>
      <c r="X169" s="4"/>
      <c r="Y169" s="4"/>
    </row>
    <row r="170" spans="1:25" ht="28" customHeight="1">
      <c r="A170" s="2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5"/>
      <c r="M170" s="5"/>
      <c r="N170" s="5"/>
      <c r="O170" s="5"/>
      <c r="P170" s="7" t="str">
        <f t="shared" ca="1" si="4"/>
        <v/>
      </c>
      <c r="Q170" s="8" t="str">
        <f t="shared" ca="1" si="5"/>
        <v/>
      </c>
      <c r="R170" s="6"/>
      <c r="S170" s="4"/>
      <c r="T170" s="4"/>
      <c r="U170" s="4"/>
      <c r="V170" s="2"/>
      <c r="W170" s="2"/>
      <c r="X170" s="4"/>
      <c r="Y170" s="4"/>
    </row>
    <row r="171" spans="1:25" ht="28" customHeight="1">
      <c r="A171" s="2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5"/>
      <c r="M171" s="5"/>
      <c r="N171" s="5"/>
      <c r="O171" s="5"/>
      <c r="P171" s="7" t="str">
        <f t="shared" ca="1" si="4"/>
        <v/>
      </c>
      <c r="Q171" s="8" t="str">
        <f t="shared" ca="1" si="5"/>
        <v/>
      </c>
      <c r="R171" s="6"/>
      <c r="S171" s="4"/>
      <c r="T171" s="4"/>
      <c r="U171" s="4"/>
      <c r="V171" s="2"/>
      <c r="W171" s="2"/>
      <c r="X171" s="4"/>
      <c r="Y171" s="4"/>
    </row>
    <row r="172" spans="1:25" ht="28" customHeight="1">
      <c r="A172" s="2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5"/>
      <c r="M172" s="5"/>
      <c r="N172" s="5"/>
      <c r="O172" s="5"/>
      <c r="P172" s="7" t="str">
        <f t="shared" ca="1" si="4"/>
        <v/>
      </c>
      <c r="Q172" s="8" t="str">
        <f t="shared" ca="1" si="5"/>
        <v/>
      </c>
      <c r="R172" s="6"/>
      <c r="S172" s="4"/>
      <c r="T172" s="4"/>
      <c r="U172" s="4"/>
      <c r="V172" s="2"/>
      <c r="W172" s="2"/>
      <c r="X172" s="4"/>
      <c r="Y172" s="4"/>
    </row>
    <row r="173" spans="1:25" ht="28" customHeight="1">
      <c r="A173" s="2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5"/>
      <c r="M173" s="5"/>
      <c r="N173" s="5"/>
      <c r="O173" s="5"/>
      <c r="P173" s="7" t="str">
        <f t="shared" ca="1" si="4"/>
        <v/>
      </c>
      <c r="Q173" s="8" t="str">
        <f t="shared" ca="1" si="5"/>
        <v/>
      </c>
      <c r="R173" s="6"/>
      <c r="S173" s="4"/>
      <c r="T173" s="4"/>
      <c r="U173" s="4"/>
      <c r="V173" s="2"/>
      <c r="W173" s="2"/>
      <c r="X173" s="4"/>
      <c r="Y173" s="4"/>
    </row>
    <row r="174" spans="1:25" ht="28" customHeight="1">
      <c r="A174" s="2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5"/>
      <c r="M174" s="5"/>
      <c r="N174" s="5"/>
      <c r="O174" s="5"/>
      <c r="P174" s="7" t="str">
        <f t="shared" ca="1" si="4"/>
        <v/>
      </c>
      <c r="Q174" s="8" t="str">
        <f t="shared" ca="1" si="5"/>
        <v/>
      </c>
      <c r="R174" s="6"/>
      <c r="S174" s="4"/>
      <c r="T174" s="4"/>
      <c r="U174" s="4"/>
      <c r="V174" s="2"/>
      <c r="W174" s="2"/>
      <c r="X174" s="4"/>
      <c r="Y174" s="4"/>
    </row>
    <row r="175" spans="1:25" ht="28" customHeight="1">
      <c r="A175" s="2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5"/>
      <c r="M175" s="5"/>
      <c r="N175" s="5"/>
      <c r="O175" s="5"/>
      <c r="P175" s="7" t="str">
        <f t="shared" ca="1" si="4"/>
        <v/>
      </c>
      <c r="Q175" s="8" t="str">
        <f t="shared" ca="1" si="5"/>
        <v/>
      </c>
      <c r="R175" s="6"/>
      <c r="S175" s="4"/>
      <c r="T175" s="4"/>
      <c r="U175" s="4"/>
      <c r="V175" s="2"/>
      <c r="W175" s="2"/>
      <c r="X175" s="4"/>
      <c r="Y175" s="4"/>
    </row>
    <row r="176" spans="1:25" ht="28" customHeight="1">
      <c r="A176" s="2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5"/>
      <c r="M176" s="5"/>
      <c r="N176" s="5"/>
      <c r="O176" s="5"/>
      <c r="P176" s="7" t="str">
        <f t="shared" ca="1" si="4"/>
        <v/>
      </c>
      <c r="Q176" s="8" t="str">
        <f t="shared" ca="1" si="5"/>
        <v/>
      </c>
      <c r="R176" s="6"/>
      <c r="S176" s="4"/>
      <c r="T176" s="4"/>
      <c r="U176" s="4"/>
      <c r="V176" s="2"/>
      <c r="W176" s="2"/>
      <c r="X176" s="4"/>
      <c r="Y176" s="4"/>
    </row>
    <row r="177" spans="1:25" ht="28" customHeight="1">
      <c r="A177" s="2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5"/>
      <c r="M177" s="5"/>
      <c r="N177" s="5"/>
      <c r="O177" s="5"/>
      <c r="P177" s="7" t="str">
        <f t="shared" ca="1" si="4"/>
        <v/>
      </c>
      <c r="Q177" s="8" t="str">
        <f t="shared" ca="1" si="5"/>
        <v/>
      </c>
      <c r="R177" s="6"/>
      <c r="S177" s="4"/>
      <c r="T177" s="4"/>
      <c r="U177" s="4"/>
      <c r="V177" s="2"/>
      <c r="W177" s="2"/>
      <c r="X177" s="4"/>
      <c r="Y177" s="4"/>
    </row>
    <row r="178" spans="1:25" ht="28" customHeight="1">
      <c r="A178" s="2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5"/>
      <c r="M178" s="5"/>
      <c r="N178" s="5"/>
      <c r="O178" s="5"/>
      <c r="P178" s="7" t="str">
        <f t="shared" ca="1" si="4"/>
        <v/>
      </c>
      <c r="Q178" s="8" t="str">
        <f t="shared" ca="1" si="5"/>
        <v/>
      </c>
      <c r="R178" s="6"/>
      <c r="S178" s="4"/>
      <c r="T178" s="4"/>
      <c r="U178" s="4"/>
      <c r="V178" s="2"/>
      <c r="W178" s="2"/>
      <c r="X178" s="4"/>
      <c r="Y178" s="4"/>
    </row>
    <row r="179" spans="1:25" ht="28" customHeight="1">
      <c r="A179" s="2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5"/>
      <c r="M179" s="5"/>
      <c r="N179" s="5"/>
      <c r="O179" s="5"/>
      <c r="P179" s="7" t="str">
        <f t="shared" ca="1" si="4"/>
        <v/>
      </c>
      <c r="Q179" s="8" t="str">
        <f t="shared" ca="1" si="5"/>
        <v/>
      </c>
      <c r="R179" s="6"/>
      <c r="S179" s="4"/>
      <c r="T179" s="4"/>
      <c r="U179" s="4"/>
      <c r="V179" s="2"/>
      <c r="W179" s="2"/>
      <c r="X179" s="4"/>
      <c r="Y179" s="4"/>
    </row>
    <row r="180" spans="1:25" ht="28" customHeight="1">
      <c r="A180" s="2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5"/>
      <c r="M180" s="5"/>
      <c r="N180" s="5"/>
      <c r="O180" s="5"/>
      <c r="P180" s="7" t="str">
        <f t="shared" ca="1" si="4"/>
        <v/>
      </c>
      <c r="Q180" s="8" t="str">
        <f t="shared" ca="1" si="5"/>
        <v/>
      </c>
      <c r="R180" s="6"/>
      <c r="S180" s="4"/>
      <c r="T180" s="4"/>
      <c r="U180" s="4"/>
      <c r="V180" s="2"/>
      <c r="W180" s="2"/>
      <c r="X180" s="4"/>
      <c r="Y180" s="4"/>
    </row>
    <row r="181" spans="1:25" ht="28" customHeight="1">
      <c r="A181" s="2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5"/>
      <c r="M181" s="5"/>
      <c r="N181" s="5"/>
      <c r="O181" s="5"/>
      <c r="P181" s="7" t="str">
        <f t="shared" ca="1" si="4"/>
        <v/>
      </c>
      <c r="Q181" s="8" t="str">
        <f t="shared" ca="1" si="5"/>
        <v/>
      </c>
      <c r="R181" s="6"/>
      <c r="S181" s="4"/>
      <c r="T181" s="4"/>
      <c r="U181" s="4"/>
      <c r="V181" s="2"/>
      <c r="W181" s="2"/>
      <c r="X181" s="4"/>
      <c r="Y181" s="4"/>
    </row>
    <row r="182" spans="1:25" ht="28" customHeight="1">
      <c r="A182" s="2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5"/>
      <c r="M182" s="5"/>
      <c r="N182" s="5"/>
      <c r="O182" s="5"/>
      <c r="P182" s="7" t="str">
        <f t="shared" ca="1" si="4"/>
        <v/>
      </c>
      <c r="Q182" s="8" t="str">
        <f t="shared" ca="1" si="5"/>
        <v/>
      </c>
      <c r="R182" s="6"/>
      <c r="S182" s="4"/>
      <c r="T182" s="4"/>
      <c r="U182" s="4"/>
      <c r="V182" s="2"/>
      <c r="W182" s="2"/>
      <c r="X182" s="4"/>
      <c r="Y182" s="4"/>
    </row>
    <row r="183" spans="1:25" ht="28" customHeight="1">
      <c r="A183" s="2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5"/>
      <c r="M183" s="5"/>
      <c r="N183" s="5"/>
      <c r="O183" s="5"/>
      <c r="P183" s="7" t="str">
        <f t="shared" ca="1" si="4"/>
        <v/>
      </c>
      <c r="Q183" s="8" t="str">
        <f t="shared" ca="1" si="5"/>
        <v/>
      </c>
      <c r="R183" s="6"/>
      <c r="S183" s="4"/>
      <c r="T183" s="4"/>
      <c r="U183" s="4"/>
      <c r="V183" s="2"/>
      <c r="W183" s="2"/>
      <c r="X183" s="4"/>
      <c r="Y183" s="4"/>
    </row>
    <row r="184" spans="1:25" ht="28" customHeight="1">
      <c r="A184" s="2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5"/>
      <c r="M184" s="5"/>
      <c r="N184" s="5"/>
      <c r="O184" s="5"/>
      <c r="P184" s="7" t="str">
        <f t="shared" ca="1" si="4"/>
        <v/>
      </c>
      <c r="Q184" s="8" t="str">
        <f t="shared" ca="1" si="5"/>
        <v/>
      </c>
      <c r="R184" s="6"/>
      <c r="S184" s="4"/>
      <c r="T184" s="4"/>
      <c r="U184" s="4"/>
      <c r="V184" s="2"/>
      <c r="W184" s="2"/>
      <c r="X184" s="4"/>
      <c r="Y184" s="4"/>
    </row>
    <row r="185" spans="1:25" ht="28" customHeight="1">
      <c r="A185" s="2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5"/>
      <c r="M185" s="5"/>
      <c r="N185" s="5"/>
      <c r="O185" s="5"/>
      <c r="P185" s="7" t="str">
        <f t="shared" ca="1" si="4"/>
        <v/>
      </c>
      <c r="Q185" s="8" t="str">
        <f t="shared" ca="1" si="5"/>
        <v/>
      </c>
      <c r="R185" s="6"/>
      <c r="S185" s="4"/>
      <c r="T185" s="4"/>
      <c r="U185" s="4"/>
      <c r="V185" s="2"/>
      <c r="W185" s="2"/>
      <c r="X185" s="4"/>
      <c r="Y185" s="4"/>
    </row>
    <row r="186" spans="1:25" ht="28" customHeight="1">
      <c r="A186" s="2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5"/>
      <c r="M186" s="5"/>
      <c r="N186" s="5"/>
      <c r="O186" s="5"/>
      <c r="P186" s="7" t="str">
        <f t="shared" ca="1" si="4"/>
        <v/>
      </c>
      <c r="Q186" s="8" t="str">
        <f t="shared" ca="1" si="5"/>
        <v/>
      </c>
      <c r="R186" s="6"/>
      <c r="S186" s="4"/>
      <c r="T186" s="4"/>
      <c r="U186" s="4"/>
      <c r="V186" s="2"/>
      <c r="W186" s="2"/>
      <c r="X186" s="4"/>
      <c r="Y186" s="4"/>
    </row>
    <row r="187" spans="1:25" ht="28" customHeight="1">
      <c r="A187" s="2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5"/>
      <c r="M187" s="5"/>
      <c r="N187" s="5"/>
      <c r="O187" s="5"/>
      <c r="P187" s="7" t="str">
        <f t="shared" ca="1" si="4"/>
        <v/>
      </c>
      <c r="Q187" s="8" t="str">
        <f t="shared" ca="1" si="5"/>
        <v/>
      </c>
      <c r="R187" s="6"/>
      <c r="S187" s="4"/>
      <c r="T187" s="4"/>
      <c r="U187" s="4"/>
      <c r="V187" s="2"/>
      <c r="W187" s="2"/>
      <c r="X187" s="4"/>
      <c r="Y187" s="4"/>
    </row>
    <row r="188" spans="1:25" ht="28" customHeight="1">
      <c r="A188" s="2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5"/>
      <c r="M188" s="5"/>
      <c r="N188" s="5"/>
      <c r="O188" s="5"/>
      <c r="P188" s="7" t="str">
        <f t="shared" ca="1" si="4"/>
        <v/>
      </c>
      <c r="Q188" s="8" t="str">
        <f t="shared" ca="1" si="5"/>
        <v/>
      </c>
      <c r="R188" s="6"/>
      <c r="S188" s="4"/>
      <c r="T188" s="4"/>
      <c r="U188" s="4"/>
      <c r="V188" s="2"/>
      <c r="W188" s="2"/>
      <c r="X188" s="4"/>
      <c r="Y188" s="4"/>
    </row>
    <row r="189" spans="1:25" ht="28" customHeight="1">
      <c r="A189" s="2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5"/>
      <c r="M189" s="5"/>
      <c r="N189" s="5"/>
      <c r="O189" s="5"/>
      <c r="P189" s="7" t="str">
        <f t="shared" ca="1" si="4"/>
        <v/>
      </c>
      <c r="Q189" s="8" t="str">
        <f t="shared" ca="1" si="5"/>
        <v/>
      </c>
      <c r="R189" s="6"/>
      <c r="S189" s="4"/>
      <c r="T189" s="4"/>
      <c r="U189" s="4"/>
      <c r="V189" s="2"/>
      <c r="W189" s="2"/>
      <c r="X189" s="4"/>
      <c r="Y189" s="4"/>
    </row>
    <row r="190" spans="1:25" ht="28" customHeight="1">
      <c r="A190" s="2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5"/>
      <c r="M190" s="5"/>
      <c r="N190" s="5"/>
      <c r="O190" s="5"/>
      <c r="P190" s="7" t="str">
        <f t="shared" ca="1" si="4"/>
        <v/>
      </c>
      <c r="Q190" s="8" t="str">
        <f t="shared" ca="1" si="5"/>
        <v/>
      </c>
      <c r="R190" s="6"/>
      <c r="S190" s="4"/>
      <c r="T190" s="4"/>
      <c r="U190" s="4"/>
      <c r="V190" s="2"/>
      <c r="W190" s="2"/>
      <c r="X190" s="4"/>
      <c r="Y190" s="4"/>
    </row>
    <row r="191" spans="1:25" ht="28" customHeight="1">
      <c r="A191" s="2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5"/>
      <c r="M191" s="5"/>
      <c r="N191" s="5"/>
      <c r="O191" s="5"/>
      <c r="P191" s="7" t="str">
        <f t="shared" ca="1" si="4"/>
        <v/>
      </c>
      <c r="Q191" s="8" t="str">
        <f t="shared" ca="1" si="5"/>
        <v/>
      </c>
      <c r="R191" s="6"/>
      <c r="S191" s="4"/>
      <c r="T191" s="4"/>
      <c r="U191" s="4"/>
      <c r="V191" s="2"/>
      <c r="W191" s="2"/>
      <c r="X191" s="4"/>
      <c r="Y191" s="4"/>
    </row>
    <row r="192" spans="1:25" ht="28" customHeight="1">
      <c r="A192" s="2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5"/>
      <c r="M192" s="5"/>
      <c r="N192" s="5"/>
      <c r="O192" s="5"/>
      <c r="P192" s="7" t="str">
        <f t="shared" ca="1" si="4"/>
        <v/>
      </c>
      <c r="Q192" s="8" t="str">
        <f t="shared" ca="1" si="5"/>
        <v/>
      </c>
      <c r="R192" s="6"/>
      <c r="S192" s="4"/>
      <c r="T192" s="4"/>
      <c r="U192" s="4"/>
      <c r="V192" s="2"/>
      <c r="W192" s="2"/>
      <c r="X192" s="4"/>
      <c r="Y192" s="4"/>
    </row>
    <row r="193" spans="1:25" ht="28" customHeight="1">
      <c r="A193" s="2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5"/>
      <c r="M193" s="5"/>
      <c r="N193" s="5"/>
      <c r="O193" s="5"/>
      <c r="P193" s="7" t="str">
        <f t="shared" ca="1" si="4"/>
        <v/>
      </c>
      <c r="Q193" s="8" t="str">
        <f t="shared" ca="1" si="5"/>
        <v/>
      </c>
      <c r="R193" s="6"/>
      <c r="S193" s="4"/>
      <c r="T193" s="4"/>
      <c r="U193" s="4"/>
      <c r="V193" s="2"/>
      <c r="W193" s="2"/>
      <c r="X193" s="4"/>
      <c r="Y193" s="4"/>
    </row>
    <row r="194" spans="1:25" ht="28" customHeight="1">
      <c r="A194" s="2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5"/>
      <c r="M194" s="5"/>
      <c r="N194" s="5"/>
      <c r="O194" s="5"/>
      <c r="P194" s="7" t="str">
        <f t="shared" ca="1" si="4"/>
        <v/>
      </c>
      <c r="Q194" s="8" t="str">
        <f t="shared" ca="1" si="5"/>
        <v/>
      </c>
      <c r="R194" s="6"/>
      <c r="S194" s="4"/>
      <c r="T194" s="4"/>
      <c r="U194" s="4"/>
      <c r="V194" s="2"/>
      <c r="W194" s="2"/>
      <c r="X194" s="4"/>
      <c r="Y194" s="4"/>
    </row>
    <row r="195" spans="1:25" ht="28" customHeight="1">
      <c r="A195" s="2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5"/>
      <c r="M195" s="5"/>
      <c r="N195" s="5"/>
      <c r="O195" s="5"/>
      <c r="P195" s="7" t="str">
        <f t="shared" ca="1" si="4"/>
        <v/>
      </c>
      <c r="Q195" s="8" t="str">
        <f t="shared" ca="1" si="5"/>
        <v/>
      </c>
      <c r="R195" s="6"/>
      <c r="S195" s="4"/>
      <c r="T195" s="4"/>
      <c r="U195" s="4"/>
      <c r="V195" s="2"/>
      <c r="W195" s="2"/>
      <c r="X195" s="4"/>
      <c r="Y195" s="4"/>
    </row>
    <row r="196" spans="1:25" ht="28" customHeight="1">
      <c r="A196" s="2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5"/>
      <c r="M196" s="5"/>
      <c r="N196" s="5"/>
      <c r="O196" s="5"/>
      <c r="P196" s="7" t="str">
        <f t="shared" ca="1" si="4"/>
        <v/>
      </c>
      <c r="Q196" s="8" t="str">
        <f t="shared" ca="1" si="5"/>
        <v/>
      </c>
      <c r="R196" s="6"/>
      <c r="S196" s="4"/>
      <c r="T196" s="4"/>
      <c r="U196" s="4"/>
      <c r="V196" s="2"/>
      <c r="W196" s="2"/>
      <c r="X196" s="4"/>
      <c r="Y196" s="4"/>
    </row>
    <row r="197" spans="1:25" ht="28" customHeight="1">
      <c r="A197" s="2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5"/>
      <c r="M197" s="5"/>
      <c r="N197" s="5"/>
      <c r="O197" s="5"/>
      <c r="P197" s="7" t="str">
        <f t="shared" ca="1" si="4"/>
        <v/>
      </c>
      <c r="Q197" s="8" t="str">
        <f t="shared" ca="1" si="5"/>
        <v/>
      </c>
      <c r="R197" s="6"/>
      <c r="S197" s="4"/>
      <c r="T197" s="4"/>
      <c r="U197" s="4"/>
      <c r="V197" s="2"/>
      <c r="W197" s="2"/>
      <c r="X197" s="4"/>
      <c r="Y197" s="4"/>
    </row>
    <row r="198" spans="1:25" ht="28" customHeight="1">
      <c r="A198" s="2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5"/>
      <c r="M198" s="5"/>
      <c r="N198" s="5"/>
      <c r="O198" s="5"/>
      <c r="P198" s="7" t="str">
        <f t="shared" ca="1" si="4"/>
        <v/>
      </c>
      <c r="Q198" s="8" t="str">
        <f t="shared" ca="1" si="5"/>
        <v/>
      </c>
      <c r="R198" s="6"/>
      <c r="S198" s="4"/>
      <c r="T198" s="4"/>
      <c r="U198" s="4"/>
      <c r="V198" s="2"/>
      <c r="W198" s="2"/>
      <c r="X198" s="4"/>
      <c r="Y198" s="4"/>
    </row>
    <row r="199" spans="1:25" ht="28" customHeight="1">
      <c r="A199" s="2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5"/>
      <c r="M199" s="5"/>
      <c r="N199" s="5"/>
      <c r="O199" s="5"/>
      <c r="P199" s="7" t="str">
        <f t="shared" ref="P199:P262" ca="1" si="6">IF(A199="","",IF(L199="","",MAX(0,IF(O199&lt;&gt;"",O199,TODAY())-L199)))</f>
        <v/>
      </c>
      <c r="Q199" s="8" t="str">
        <f t="shared" ref="Q199:Q262" ca="1" si="7">IF(A199="","",IF(OR(G199="Closed",G199="Duplicate",G199="Won't Fix"),"Hoàn tất",IF(M199="","Chưa đặt hạn",IF(TODAY()&gt;M199,"Quá hạn",IF(TODAY()=M199,"Đến hạn","Trong hạn")))))</f>
        <v/>
      </c>
      <c r="R199" s="6"/>
      <c r="S199" s="4"/>
      <c r="T199" s="4"/>
      <c r="U199" s="4"/>
      <c r="V199" s="2"/>
      <c r="W199" s="2"/>
      <c r="X199" s="4"/>
      <c r="Y199" s="4"/>
    </row>
    <row r="200" spans="1:25" ht="28" customHeight="1">
      <c r="A200" s="2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5"/>
      <c r="M200" s="5"/>
      <c r="N200" s="5"/>
      <c r="O200" s="5"/>
      <c r="P200" s="7" t="str">
        <f t="shared" ca="1" si="6"/>
        <v/>
      </c>
      <c r="Q200" s="8" t="str">
        <f t="shared" ca="1" si="7"/>
        <v/>
      </c>
      <c r="R200" s="6"/>
      <c r="S200" s="4"/>
      <c r="T200" s="4"/>
      <c r="U200" s="4"/>
      <c r="V200" s="2"/>
      <c r="W200" s="2"/>
      <c r="X200" s="4"/>
      <c r="Y200" s="4"/>
    </row>
    <row r="201" spans="1:25" ht="28" customHeight="1">
      <c r="A201" s="2"/>
      <c r="B201" s="4"/>
      <c r="C201" s="2"/>
      <c r="D201" s="2"/>
      <c r="E201" s="2"/>
      <c r="F201" s="2"/>
      <c r="G201" s="2"/>
      <c r="H201" s="2"/>
      <c r="I201" s="2"/>
      <c r="J201" s="2"/>
      <c r="K201" s="2"/>
      <c r="L201" s="5"/>
      <c r="M201" s="5"/>
      <c r="N201" s="5"/>
      <c r="O201" s="5"/>
      <c r="P201" s="7" t="str">
        <f t="shared" ca="1" si="6"/>
        <v/>
      </c>
      <c r="Q201" s="8" t="str">
        <f t="shared" ca="1" si="7"/>
        <v/>
      </c>
      <c r="R201" s="6"/>
      <c r="S201" s="4"/>
      <c r="T201" s="4"/>
      <c r="U201" s="4"/>
      <c r="V201" s="2"/>
      <c r="W201" s="2"/>
      <c r="X201" s="4"/>
      <c r="Y201" s="4"/>
    </row>
    <row r="202" spans="1:25" ht="28" customHeight="1">
      <c r="A202" s="2"/>
      <c r="B202" s="4"/>
      <c r="C202" s="2"/>
      <c r="D202" s="2"/>
      <c r="E202" s="2"/>
      <c r="F202" s="2"/>
      <c r="G202" s="2"/>
      <c r="H202" s="2"/>
      <c r="I202" s="2"/>
      <c r="J202" s="2"/>
      <c r="K202" s="2"/>
      <c r="L202" s="5"/>
      <c r="M202" s="5"/>
      <c r="N202" s="5"/>
      <c r="O202" s="5"/>
      <c r="P202" s="7" t="str">
        <f t="shared" ca="1" si="6"/>
        <v/>
      </c>
      <c r="Q202" s="8" t="str">
        <f t="shared" ca="1" si="7"/>
        <v/>
      </c>
      <c r="R202" s="6"/>
      <c r="S202" s="4"/>
      <c r="T202" s="4"/>
      <c r="U202" s="4"/>
      <c r="V202" s="2"/>
      <c r="W202" s="2"/>
      <c r="X202" s="4"/>
      <c r="Y202" s="4"/>
    </row>
    <row r="203" spans="1:25" ht="28" customHeight="1">
      <c r="A203" s="2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5"/>
      <c r="M203" s="5"/>
      <c r="N203" s="5"/>
      <c r="O203" s="5"/>
      <c r="P203" s="7" t="str">
        <f t="shared" ca="1" si="6"/>
        <v/>
      </c>
      <c r="Q203" s="8" t="str">
        <f t="shared" ca="1" si="7"/>
        <v/>
      </c>
      <c r="R203" s="6"/>
      <c r="S203" s="4"/>
      <c r="T203" s="4"/>
      <c r="U203" s="4"/>
      <c r="V203" s="2"/>
      <c r="W203" s="2"/>
      <c r="X203" s="4"/>
      <c r="Y203" s="4"/>
    </row>
    <row r="204" spans="1:25" ht="28" customHeight="1">
      <c r="A204" s="2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5"/>
      <c r="M204" s="5"/>
      <c r="N204" s="5"/>
      <c r="O204" s="5"/>
      <c r="P204" s="7" t="str">
        <f t="shared" ca="1" si="6"/>
        <v/>
      </c>
      <c r="Q204" s="8" t="str">
        <f t="shared" ca="1" si="7"/>
        <v/>
      </c>
      <c r="R204" s="6"/>
      <c r="S204" s="4"/>
      <c r="T204" s="4"/>
      <c r="U204" s="4"/>
      <c r="V204" s="2"/>
      <c r="W204" s="2"/>
      <c r="X204" s="4"/>
      <c r="Y204" s="4"/>
    </row>
    <row r="205" spans="1:25" ht="28" customHeight="1">
      <c r="A205" s="2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5"/>
      <c r="M205" s="5"/>
      <c r="N205" s="5"/>
      <c r="O205" s="5"/>
      <c r="P205" s="7" t="str">
        <f t="shared" ca="1" si="6"/>
        <v/>
      </c>
      <c r="Q205" s="8" t="str">
        <f t="shared" ca="1" si="7"/>
        <v/>
      </c>
      <c r="R205" s="6"/>
      <c r="S205" s="4"/>
      <c r="T205" s="4"/>
      <c r="U205" s="4"/>
      <c r="V205" s="2"/>
      <c r="W205" s="2"/>
      <c r="X205" s="4"/>
      <c r="Y205" s="4"/>
    </row>
    <row r="206" spans="1:25" ht="28" customHeight="1">
      <c r="A206" s="2"/>
      <c r="B206" s="4"/>
      <c r="C206" s="2"/>
      <c r="D206" s="2"/>
      <c r="E206" s="2"/>
      <c r="F206" s="2"/>
      <c r="G206" s="2"/>
      <c r="H206" s="2"/>
      <c r="I206" s="2"/>
      <c r="J206" s="2"/>
      <c r="K206" s="2"/>
      <c r="L206" s="5"/>
      <c r="M206" s="5"/>
      <c r="N206" s="5"/>
      <c r="O206" s="5"/>
      <c r="P206" s="7" t="str">
        <f t="shared" ca="1" si="6"/>
        <v/>
      </c>
      <c r="Q206" s="8" t="str">
        <f t="shared" ca="1" si="7"/>
        <v/>
      </c>
      <c r="R206" s="6"/>
      <c r="S206" s="4"/>
      <c r="T206" s="4"/>
      <c r="U206" s="4"/>
      <c r="V206" s="2"/>
      <c r="W206" s="2"/>
      <c r="X206" s="4"/>
      <c r="Y206" s="4"/>
    </row>
    <row r="207" spans="1:25" ht="28" customHeight="1">
      <c r="A207" s="2"/>
      <c r="B207" s="4"/>
      <c r="C207" s="2"/>
      <c r="D207" s="2"/>
      <c r="E207" s="2"/>
      <c r="F207" s="2"/>
      <c r="G207" s="2"/>
      <c r="H207" s="2"/>
      <c r="I207" s="2"/>
      <c r="J207" s="2"/>
      <c r="K207" s="2"/>
      <c r="L207" s="5"/>
      <c r="M207" s="5"/>
      <c r="N207" s="5"/>
      <c r="O207" s="5"/>
      <c r="P207" s="7" t="str">
        <f t="shared" ca="1" si="6"/>
        <v/>
      </c>
      <c r="Q207" s="8" t="str">
        <f t="shared" ca="1" si="7"/>
        <v/>
      </c>
      <c r="R207" s="6"/>
      <c r="S207" s="4"/>
      <c r="T207" s="4"/>
      <c r="U207" s="4"/>
      <c r="V207" s="2"/>
      <c r="W207" s="2"/>
      <c r="X207" s="4"/>
      <c r="Y207" s="4"/>
    </row>
    <row r="208" spans="1:25" ht="28" customHeight="1">
      <c r="A208" s="2"/>
      <c r="B208" s="4"/>
      <c r="C208" s="2"/>
      <c r="D208" s="2"/>
      <c r="E208" s="2"/>
      <c r="F208" s="2"/>
      <c r="G208" s="2"/>
      <c r="H208" s="2"/>
      <c r="I208" s="2"/>
      <c r="J208" s="2"/>
      <c r="K208" s="2"/>
      <c r="L208" s="5"/>
      <c r="M208" s="5"/>
      <c r="N208" s="5"/>
      <c r="O208" s="5"/>
      <c r="P208" s="7" t="str">
        <f t="shared" ca="1" si="6"/>
        <v/>
      </c>
      <c r="Q208" s="8" t="str">
        <f t="shared" ca="1" si="7"/>
        <v/>
      </c>
      <c r="R208" s="6"/>
      <c r="S208" s="4"/>
      <c r="T208" s="4"/>
      <c r="U208" s="4"/>
      <c r="V208" s="2"/>
      <c r="W208" s="2"/>
      <c r="X208" s="4"/>
      <c r="Y208" s="4"/>
    </row>
    <row r="209" spans="1:25" ht="28" customHeight="1">
      <c r="A209" s="2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5"/>
      <c r="M209" s="5"/>
      <c r="N209" s="5"/>
      <c r="O209" s="5"/>
      <c r="P209" s="7" t="str">
        <f t="shared" ca="1" si="6"/>
        <v/>
      </c>
      <c r="Q209" s="8" t="str">
        <f t="shared" ca="1" si="7"/>
        <v/>
      </c>
      <c r="R209" s="6"/>
      <c r="S209" s="4"/>
      <c r="T209" s="4"/>
      <c r="U209" s="4"/>
      <c r="V209" s="2"/>
      <c r="W209" s="2"/>
      <c r="X209" s="4"/>
      <c r="Y209" s="4"/>
    </row>
    <row r="210" spans="1:25" ht="28" customHeight="1">
      <c r="A210" s="2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5"/>
      <c r="M210" s="5"/>
      <c r="N210" s="5"/>
      <c r="O210" s="5"/>
      <c r="P210" s="7" t="str">
        <f t="shared" ca="1" si="6"/>
        <v/>
      </c>
      <c r="Q210" s="8" t="str">
        <f t="shared" ca="1" si="7"/>
        <v/>
      </c>
      <c r="R210" s="6"/>
      <c r="S210" s="4"/>
      <c r="T210" s="4"/>
      <c r="U210" s="4"/>
      <c r="V210" s="2"/>
      <c r="W210" s="2"/>
      <c r="X210" s="4"/>
      <c r="Y210" s="4"/>
    </row>
    <row r="211" spans="1:25" ht="28" customHeight="1">
      <c r="A211" s="2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5"/>
      <c r="M211" s="5"/>
      <c r="N211" s="5"/>
      <c r="O211" s="5"/>
      <c r="P211" s="7" t="str">
        <f t="shared" ca="1" si="6"/>
        <v/>
      </c>
      <c r="Q211" s="8" t="str">
        <f t="shared" ca="1" si="7"/>
        <v/>
      </c>
      <c r="R211" s="6"/>
      <c r="S211" s="4"/>
      <c r="T211" s="4"/>
      <c r="U211" s="4"/>
      <c r="V211" s="2"/>
      <c r="W211" s="2"/>
      <c r="X211" s="4"/>
      <c r="Y211" s="4"/>
    </row>
    <row r="212" spans="1:25" ht="28" customHeight="1">
      <c r="A212" s="2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5"/>
      <c r="M212" s="5"/>
      <c r="N212" s="5"/>
      <c r="O212" s="5"/>
      <c r="P212" s="7" t="str">
        <f t="shared" ca="1" si="6"/>
        <v/>
      </c>
      <c r="Q212" s="8" t="str">
        <f t="shared" ca="1" si="7"/>
        <v/>
      </c>
      <c r="R212" s="6"/>
      <c r="S212" s="4"/>
      <c r="T212" s="4"/>
      <c r="U212" s="4"/>
      <c r="V212" s="2"/>
      <c r="W212" s="2"/>
      <c r="X212" s="4"/>
      <c r="Y212" s="4"/>
    </row>
    <row r="213" spans="1:25" ht="28" customHeight="1">
      <c r="A213" s="2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5"/>
      <c r="M213" s="5"/>
      <c r="N213" s="5"/>
      <c r="O213" s="5"/>
      <c r="P213" s="7" t="str">
        <f t="shared" ca="1" si="6"/>
        <v/>
      </c>
      <c r="Q213" s="8" t="str">
        <f t="shared" ca="1" si="7"/>
        <v/>
      </c>
      <c r="R213" s="6"/>
      <c r="S213" s="4"/>
      <c r="T213" s="4"/>
      <c r="U213" s="4"/>
      <c r="V213" s="2"/>
      <c r="W213" s="2"/>
      <c r="X213" s="4"/>
      <c r="Y213" s="4"/>
    </row>
    <row r="214" spans="1:25" ht="28" customHeight="1">
      <c r="A214" s="2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5"/>
      <c r="M214" s="5"/>
      <c r="N214" s="5"/>
      <c r="O214" s="5"/>
      <c r="P214" s="7" t="str">
        <f t="shared" ca="1" si="6"/>
        <v/>
      </c>
      <c r="Q214" s="8" t="str">
        <f t="shared" ca="1" si="7"/>
        <v/>
      </c>
      <c r="R214" s="6"/>
      <c r="S214" s="4"/>
      <c r="T214" s="4"/>
      <c r="U214" s="4"/>
      <c r="V214" s="2"/>
      <c r="W214" s="2"/>
      <c r="X214" s="4"/>
      <c r="Y214" s="4"/>
    </row>
    <row r="215" spans="1:25" ht="28" customHeight="1">
      <c r="A215" s="2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5"/>
      <c r="M215" s="5"/>
      <c r="N215" s="5"/>
      <c r="O215" s="5"/>
      <c r="P215" s="7" t="str">
        <f t="shared" ca="1" si="6"/>
        <v/>
      </c>
      <c r="Q215" s="8" t="str">
        <f t="shared" ca="1" si="7"/>
        <v/>
      </c>
      <c r="R215" s="6"/>
      <c r="S215" s="4"/>
      <c r="T215" s="4"/>
      <c r="U215" s="4"/>
      <c r="V215" s="2"/>
      <c r="W215" s="2"/>
      <c r="X215" s="4"/>
      <c r="Y215" s="4"/>
    </row>
    <row r="216" spans="1:25" ht="28" customHeight="1">
      <c r="A216" s="2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5"/>
      <c r="M216" s="5"/>
      <c r="N216" s="5"/>
      <c r="O216" s="5"/>
      <c r="P216" s="7" t="str">
        <f t="shared" ca="1" si="6"/>
        <v/>
      </c>
      <c r="Q216" s="8" t="str">
        <f t="shared" ca="1" si="7"/>
        <v/>
      </c>
      <c r="R216" s="6"/>
      <c r="S216" s="4"/>
      <c r="T216" s="4"/>
      <c r="U216" s="4"/>
      <c r="V216" s="2"/>
      <c r="W216" s="2"/>
      <c r="X216" s="4"/>
      <c r="Y216" s="4"/>
    </row>
    <row r="217" spans="1:25" ht="28" customHeight="1">
      <c r="A217" s="2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5"/>
      <c r="M217" s="5"/>
      <c r="N217" s="5"/>
      <c r="O217" s="5"/>
      <c r="P217" s="7" t="str">
        <f t="shared" ca="1" si="6"/>
        <v/>
      </c>
      <c r="Q217" s="8" t="str">
        <f t="shared" ca="1" si="7"/>
        <v/>
      </c>
      <c r="R217" s="6"/>
      <c r="S217" s="4"/>
      <c r="T217" s="4"/>
      <c r="U217" s="4"/>
      <c r="V217" s="2"/>
      <c r="W217" s="2"/>
      <c r="X217" s="4"/>
      <c r="Y217" s="4"/>
    </row>
    <row r="218" spans="1:25" ht="28" customHeight="1">
      <c r="A218" s="2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5"/>
      <c r="M218" s="5"/>
      <c r="N218" s="5"/>
      <c r="O218" s="5"/>
      <c r="P218" s="7" t="str">
        <f t="shared" ca="1" si="6"/>
        <v/>
      </c>
      <c r="Q218" s="8" t="str">
        <f t="shared" ca="1" si="7"/>
        <v/>
      </c>
      <c r="R218" s="6"/>
      <c r="S218" s="4"/>
      <c r="T218" s="4"/>
      <c r="U218" s="4"/>
      <c r="V218" s="2"/>
      <c r="W218" s="2"/>
      <c r="X218" s="4"/>
      <c r="Y218" s="4"/>
    </row>
    <row r="219" spans="1:25" ht="28" customHeight="1">
      <c r="A219" s="2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5"/>
      <c r="M219" s="5"/>
      <c r="N219" s="5"/>
      <c r="O219" s="5"/>
      <c r="P219" s="7" t="str">
        <f t="shared" ca="1" si="6"/>
        <v/>
      </c>
      <c r="Q219" s="8" t="str">
        <f t="shared" ca="1" si="7"/>
        <v/>
      </c>
      <c r="R219" s="6"/>
      <c r="S219" s="4"/>
      <c r="T219" s="4"/>
      <c r="U219" s="4"/>
      <c r="V219" s="2"/>
      <c r="W219" s="2"/>
      <c r="X219" s="4"/>
      <c r="Y219" s="4"/>
    </row>
    <row r="220" spans="1:25" ht="28" customHeight="1">
      <c r="A220" s="2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5"/>
      <c r="M220" s="5"/>
      <c r="N220" s="5"/>
      <c r="O220" s="5"/>
      <c r="P220" s="7" t="str">
        <f t="shared" ca="1" si="6"/>
        <v/>
      </c>
      <c r="Q220" s="8" t="str">
        <f t="shared" ca="1" si="7"/>
        <v/>
      </c>
      <c r="R220" s="6"/>
      <c r="S220" s="4"/>
      <c r="T220" s="4"/>
      <c r="U220" s="4"/>
      <c r="V220" s="2"/>
      <c r="W220" s="2"/>
      <c r="X220" s="4"/>
      <c r="Y220" s="4"/>
    </row>
    <row r="221" spans="1:25" ht="28" customHeight="1">
      <c r="A221" s="2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5"/>
      <c r="M221" s="5"/>
      <c r="N221" s="5"/>
      <c r="O221" s="5"/>
      <c r="P221" s="7" t="str">
        <f t="shared" ca="1" si="6"/>
        <v/>
      </c>
      <c r="Q221" s="8" t="str">
        <f t="shared" ca="1" si="7"/>
        <v/>
      </c>
      <c r="R221" s="6"/>
      <c r="S221" s="4"/>
      <c r="T221" s="4"/>
      <c r="U221" s="4"/>
      <c r="V221" s="2"/>
      <c r="W221" s="2"/>
      <c r="X221" s="4"/>
      <c r="Y221" s="4"/>
    </row>
    <row r="222" spans="1:25" ht="28" customHeight="1">
      <c r="A222" s="2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5"/>
      <c r="M222" s="5"/>
      <c r="N222" s="5"/>
      <c r="O222" s="5"/>
      <c r="P222" s="7" t="str">
        <f t="shared" ca="1" si="6"/>
        <v/>
      </c>
      <c r="Q222" s="8" t="str">
        <f t="shared" ca="1" si="7"/>
        <v/>
      </c>
      <c r="R222" s="6"/>
      <c r="S222" s="4"/>
      <c r="T222" s="4"/>
      <c r="U222" s="4"/>
      <c r="V222" s="2"/>
      <c r="W222" s="2"/>
      <c r="X222" s="4"/>
      <c r="Y222" s="4"/>
    </row>
    <row r="223" spans="1:25" ht="28" customHeight="1">
      <c r="A223" s="2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5"/>
      <c r="M223" s="5"/>
      <c r="N223" s="5"/>
      <c r="O223" s="5"/>
      <c r="P223" s="7" t="str">
        <f t="shared" ca="1" si="6"/>
        <v/>
      </c>
      <c r="Q223" s="8" t="str">
        <f t="shared" ca="1" si="7"/>
        <v/>
      </c>
      <c r="R223" s="6"/>
      <c r="S223" s="4"/>
      <c r="T223" s="4"/>
      <c r="U223" s="4"/>
      <c r="V223" s="2"/>
      <c r="W223" s="2"/>
      <c r="X223" s="4"/>
      <c r="Y223" s="4"/>
    </row>
    <row r="224" spans="1:25" ht="28" customHeight="1">
      <c r="A224" s="2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5"/>
      <c r="M224" s="5"/>
      <c r="N224" s="5"/>
      <c r="O224" s="5"/>
      <c r="P224" s="7" t="str">
        <f t="shared" ca="1" si="6"/>
        <v/>
      </c>
      <c r="Q224" s="8" t="str">
        <f t="shared" ca="1" si="7"/>
        <v/>
      </c>
      <c r="R224" s="6"/>
      <c r="S224" s="4"/>
      <c r="T224" s="4"/>
      <c r="U224" s="4"/>
      <c r="V224" s="2"/>
      <c r="W224" s="2"/>
      <c r="X224" s="4"/>
      <c r="Y224" s="4"/>
    </row>
    <row r="225" spans="1:25" ht="28" customHeight="1">
      <c r="A225" s="2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5"/>
      <c r="M225" s="5"/>
      <c r="N225" s="5"/>
      <c r="O225" s="5"/>
      <c r="P225" s="7" t="str">
        <f t="shared" ca="1" si="6"/>
        <v/>
      </c>
      <c r="Q225" s="8" t="str">
        <f t="shared" ca="1" si="7"/>
        <v/>
      </c>
      <c r="R225" s="6"/>
      <c r="S225" s="4"/>
      <c r="T225" s="4"/>
      <c r="U225" s="4"/>
      <c r="V225" s="2"/>
      <c r="W225" s="2"/>
      <c r="X225" s="4"/>
      <c r="Y225" s="4"/>
    </row>
    <row r="226" spans="1:25" ht="28" customHeight="1">
      <c r="A226" s="2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5"/>
      <c r="M226" s="5"/>
      <c r="N226" s="5"/>
      <c r="O226" s="5"/>
      <c r="P226" s="7" t="str">
        <f t="shared" ca="1" si="6"/>
        <v/>
      </c>
      <c r="Q226" s="8" t="str">
        <f t="shared" ca="1" si="7"/>
        <v/>
      </c>
      <c r="R226" s="6"/>
      <c r="S226" s="4"/>
      <c r="T226" s="4"/>
      <c r="U226" s="4"/>
      <c r="V226" s="2"/>
      <c r="W226" s="2"/>
      <c r="X226" s="4"/>
      <c r="Y226" s="4"/>
    </row>
    <row r="227" spans="1:25" ht="28" customHeight="1">
      <c r="A227" s="2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5"/>
      <c r="M227" s="5"/>
      <c r="N227" s="5"/>
      <c r="O227" s="5"/>
      <c r="P227" s="7" t="str">
        <f t="shared" ca="1" si="6"/>
        <v/>
      </c>
      <c r="Q227" s="8" t="str">
        <f t="shared" ca="1" si="7"/>
        <v/>
      </c>
      <c r="R227" s="6"/>
      <c r="S227" s="4"/>
      <c r="T227" s="4"/>
      <c r="U227" s="4"/>
      <c r="V227" s="2"/>
      <c r="W227" s="2"/>
      <c r="X227" s="4"/>
      <c r="Y227" s="4"/>
    </row>
    <row r="228" spans="1:25" ht="28" customHeight="1">
      <c r="A228" s="2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5"/>
      <c r="M228" s="5"/>
      <c r="N228" s="5"/>
      <c r="O228" s="5"/>
      <c r="P228" s="7" t="str">
        <f t="shared" ca="1" si="6"/>
        <v/>
      </c>
      <c r="Q228" s="8" t="str">
        <f t="shared" ca="1" si="7"/>
        <v/>
      </c>
      <c r="R228" s="6"/>
      <c r="S228" s="4"/>
      <c r="T228" s="4"/>
      <c r="U228" s="4"/>
      <c r="V228" s="2"/>
      <c r="W228" s="2"/>
      <c r="X228" s="4"/>
      <c r="Y228" s="4"/>
    </row>
    <row r="229" spans="1:25" ht="28" customHeight="1">
      <c r="A229" s="2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5"/>
      <c r="M229" s="5"/>
      <c r="N229" s="5"/>
      <c r="O229" s="5"/>
      <c r="P229" s="7" t="str">
        <f t="shared" ca="1" si="6"/>
        <v/>
      </c>
      <c r="Q229" s="8" t="str">
        <f t="shared" ca="1" si="7"/>
        <v/>
      </c>
      <c r="R229" s="6"/>
      <c r="S229" s="4"/>
      <c r="T229" s="4"/>
      <c r="U229" s="4"/>
      <c r="V229" s="2"/>
      <c r="W229" s="2"/>
      <c r="X229" s="4"/>
      <c r="Y229" s="4"/>
    </row>
    <row r="230" spans="1:25" ht="28" customHeight="1">
      <c r="A230" s="2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5"/>
      <c r="M230" s="5"/>
      <c r="N230" s="5"/>
      <c r="O230" s="5"/>
      <c r="P230" s="7" t="str">
        <f t="shared" ca="1" si="6"/>
        <v/>
      </c>
      <c r="Q230" s="8" t="str">
        <f t="shared" ca="1" si="7"/>
        <v/>
      </c>
      <c r="R230" s="6"/>
      <c r="S230" s="4"/>
      <c r="T230" s="4"/>
      <c r="U230" s="4"/>
      <c r="V230" s="2"/>
      <c r="W230" s="2"/>
      <c r="X230" s="4"/>
      <c r="Y230" s="4"/>
    </row>
    <row r="231" spans="1:25" ht="28" customHeight="1">
      <c r="A231" s="2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5"/>
      <c r="M231" s="5"/>
      <c r="N231" s="5"/>
      <c r="O231" s="5"/>
      <c r="P231" s="7" t="str">
        <f t="shared" ca="1" si="6"/>
        <v/>
      </c>
      <c r="Q231" s="8" t="str">
        <f t="shared" ca="1" si="7"/>
        <v/>
      </c>
      <c r="R231" s="6"/>
      <c r="S231" s="4"/>
      <c r="T231" s="4"/>
      <c r="U231" s="4"/>
      <c r="V231" s="2"/>
      <c r="W231" s="2"/>
      <c r="X231" s="4"/>
      <c r="Y231" s="4"/>
    </row>
    <row r="232" spans="1:25" ht="28" customHeight="1">
      <c r="A232" s="2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5"/>
      <c r="M232" s="5"/>
      <c r="N232" s="5"/>
      <c r="O232" s="5"/>
      <c r="P232" s="7" t="str">
        <f t="shared" ca="1" si="6"/>
        <v/>
      </c>
      <c r="Q232" s="8" t="str">
        <f t="shared" ca="1" si="7"/>
        <v/>
      </c>
      <c r="R232" s="6"/>
      <c r="S232" s="4"/>
      <c r="T232" s="4"/>
      <c r="U232" s="4"/>
      <c r="V232" s="2"/>
      <c r="W232" s="2"/>
      <c r="X232" s="4"/>
      <c r="Y232" s="4"/>
    </row>
    <row r="233" spans="1:25" ht="28" customHeight="1">
      <c r="A233" s="2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5"/>
      <c r="M233" s="5"/>
      <c r="N233" s="5"/>
      <c r="O233" s="5"/>
      <c r="P233" s="7" t="str">
        <f t="shared" ca="1" si="6"/>
        <v/>
      </c>
      <c r="Q233" s="8" t="str">
        <f t="shared" ca="1" si="7"/>
        <v/>
      </c>
      <c r="R233" s="6"/>
      <c r="S233" s="4"/>
      <c r="T233" s="4"/>
      <c r="U233" s="4"/>
      <c r="V233" s="2"/>
      <c r="W233" s="2"/>
      <c r="X233" s="4"/>
      <c r="Y233" s="4"/>
    </row>
    <row r="234" spans="1:25" ht="28" customHeight="1">
      <c r="A234" s="2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5"/>
      <c r="M234" s="5"/>
      <c r="N234" s="5"/>
      <c r="O234" s="5"/>
      <c r="P234" s="7" t="str">
        <f t="shared" ca="1" si="6"/>
        <v/>
      </c>
      <c r="Q234" s="8" t="str">
        <f t="shared" ca="1" si="7"/>
        <v/>
      </c>
      <c r="R234" s="6"/>
      <c r="S234" s="4"/>
      <c r="T234" s="4"/>
      <c r="U234" s="4"/>
      <c r="V234" s="2"/>
      <c r="W234" s="2"/>
      <c r="X234" s="4"/>
      <c r="Y234" s="4"/>
    </row>
    <row r="235" spans="1:25" ht="28" customHeight="1">
      <c r="A235" s="2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5"/>
      <c r="M235" s="5"/>
      <c r="N235" s="5"/>
      <c r="O235" s="5"/>
      <c r="P235" s="7" t="str">
        <f t="shared" ca="1" si="6"/>
        <v/>
      </c>
      <c r="Q235" s="8" t="str">
        <f t="shared" ca="1" si="7"/>
        <v/>
      </c>
      <c r="R235" s="6"/>
      <c r="S235" s="4"/>
      <c r="T235" s="4"/>
      <c r="U235" s="4"/>
      <c r="V235" s="2"/>
      <c r="W235" s="2"/>
      <c r="X235" s="4"/>
      <c r="Y235" s="4"/>
    </row>
    <row r="236" spans="1:25" ht="28" customHeight="1">
      <c r="A236" s="2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5"/>
      <c r="M236" s="5"/>
      <c r="N236" s="5"/>
      <c r="O236" s="5"/>
      <c r="P236" s="7" t="str">
        <f t="shared" ca="1" si="6"/>
        <v/>
      </c>
      <c r="Q236" s="8" t="str">
        <f t="shared" ca="1" si="7"/>
        <v/>
      </c>
      <c r="R236" s="6"/>
      <c r="S236" s="4"/>
      <c r="T236" s="4"/>
      <c r="U236" s="4"/>
      <c r="V236" s="2"/>
      <c r="W236" s="2"/>
      <c r="X236" s="4"/>
      <c r="Y236" s="4"/>
    </row>
    <row r="237" spans="1:25" ht="28" customHeight="1">
      <c r="A237" s="2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5"/>
      <c r="M237" s="5"/>
      <c r="N237" s="5"/>
      <c r="O237" s="5"/>
      <c r="P237" s="7" t="str">
        <f t="shared" ca="1" si="6"/>
        <v/>
      </c>
      <c r="Q237" s="8" t="str">
        <f t="shared" ca="1" si="7"/>
        <v/>
      </c>
      <c r="R237" s="6"/>
      <c r="S237" s="4"/>
      <c r="T237" s="4"/>
      <c r="U237" s="4"/>
      <c r="V237" s="2"/>
      <c r="W237" s="2"/>
      <c r="X237" s="4"/>
      <c r="Y237" s="4"/>
    </row>
    <row r="238" spans="1:25" ht="28" customHeight="1">
      <c r="A238" s="2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5"/>
      <c r="M238" s="5"/>
      <c r="N238" s="5"/>
      <c r="O238" s="5"/>
      <c r="P238" s="7" t="str">
        <f t="shared" ca="1" si="6"/>
        <v/>
      </c>
      <c r="Q238" s="8" t="str">
        <f t="shared" ca="1" si="7"/>
        <v/>
      </c>
      <c r="R238" s="6"/>
      <c r="S238" s="4"/>
      <c r="T238" s="4"/>
      <c r="U238" s="4"/>
      <c r="V238" s="2"/>
      <c r="W238" s="2"/>
      <c r="X238" s="4"/>
      <c r="Y238" s="4"/>
    </row>
    <row r="239" spans="1:25" ht="28" customHeight="1">
      <c r="A239" s="2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5"/>
      <c r="M239" s="5"/>
      <c r="N239" s="5"/>
      <c r="O239" s="5"/>
      <c r="P239" s="7" t="str">
        <f t="shared" ca="1" si="6"/>
        <v/>
      </c>
      <c r="Q239" s="8" t="str">
        <f t="shared" ca="1" si="7"/>
        <v/>
      </c>
      <c r="R239" s="6"/>
      <c r="S239" s="4"/>
      <c r="T239" s="4"/>
      <c r="U239" s="4"/>
      <c r="V239" s="2"/>
      <c r="W239" s="2"/>
      <c r="X239" s="4"/>
      <c r="Y239" s="4"/>
    </row>
    <row r="240" spans="1:25" ht="28" customHeight="1">
      <c r="A240" s="2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5"/>
      <c r="M240" s="5"/>
      <c r="N240" s="5"/>
      <c r="O240" s="5"/>
      <c r="P240" s="7" t="str">
        <f t="shared" ca="1" si="6"/>
        <v/>
      </c>
      <c r="Q240" s="8" t="str">
        <f t="shared" ca="1" si="7"/>
        <v/>
      </c>
      <c r="R240" s="6"/>
      <c r="S240" s="4"/>
      <c r="T240" s="4"/>
      <c r="U240" s="4"/>
      <c r="V240" s="2"/>
      <c r="W240" s="2"/>
      <c r="X240" s="4"/>
      <c r="Y240" s="4"/>
    </row>
    <row r="241" spans="1:25" ht="28" customHeight="1">
      <c r="A241" s="2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5"/>
      <c r="M241" s="5"/>
      <c r="N241" s="5"/>
      <c r="O241" s="5"/>
      <c r="P241" s="7" t="str">
        <f t="shared" ca="1" si="6"/>
        <v/>
      </c>
      <c r="Q241" s="8" t="str">
        <f t="shared" ca="1" si="7"/>
        <v/>
      </c>
      <c r="R241" s="6"/>
      <c r="S241" s="4"/>
      <c r="T241" s="4"/>
      <c r="U241" s="4"/>
      <c r="V241" s="2"/>
      <c r="W241" s="2"/>
      <c r="X241" s="4"/>
      <c r="Y241" s="4"/>
    </row>
    <row r="242" spans="1:25" ht="28" customHeight="1">
      <c r="A242" s="2"/>
      <c r="B242" s="4"/>
      <c r="C242" s="2"/>
      <c r="D242" s="2"/>
      <c r="E242" s="2"/>
      <c r="F242" s="2"/>
      <c r="G242" s="2"/>
      <c r="H242" s="2"/>
      <c r="I242" s="2"/>
      <c r="J242" s="2"/>
      <c r="K242" s="2"/>
      <c r="L242" s="5"/>
      <c r="M242" s="5"/>
      <c r="N242" s="5"/>
      <c r="O242" s="5"/>
      <c r="P242" s="7" t="str">
        <f t="shared" ca="1" si="6"/>
        <v/>
      </c>
      <c r="Q242" s="8" t="str">
        <f t="shared" ca="1" si="7"/>
        <v/>
      </c>
      <c r="R242" s="6"/>
      <c r="S242" s="4"/>
      <c r="T242" s="4"/>
      <c r="U242" s="4"/>
      <c r="V242" s="2"/>
      <c r="W242" s="2"/>
      <c r="X242" s="4"/>
      <c r="Y242" s="4"/>
    </row>
    <row r="243" spans="1:25" ht="28" customHeight="1">
      <c r="A243" s="2"/>
      <c r="B243" s="4"/>
      <c r="C243" s="2"/>
      <c r="D243" s="2"/>
      <c r="E243" s="2"/>
      <c r="F243" s="2"/>
      <c r="G243" s="2"/>
      <c r="H243" s="2"/>
      <c r="I243" s="2"/>
      <c r="J243" s="2"/>
      <c r="K243" s="2"/>
      <c r="L243" s="5"/>
      <c r="M243" s="5"/>
      <c r="N243" s="5"/>
      <c r="O243" s="5"/>
      <c r="P243" s="7" t="str">
        <f t="shared" ca="1" si="6"/>
        <v/>
      </c>
      <c r="Q243" s="8" t="str">
        <f t="shared" ca="1" si="7"/>
        <v/>
      </c>
      <c r="R243" s="6"/>
      <c r="S243" s="4"/>
      <c r="T243" s="4"/>
      <c r="U243" s="4"/>
      <c r="V243" s="2"/>
      <c r="W243" s="2"/>
      <c r="X243" s="4"/>
      <c r="Y243" s="4"/>
    </row>
    <row r="244" spans="1:25" ht="28" customHeight="1">
      <c r="A244" s="2"/>
      <c r="B244" s="4"/>
      <c r="C244" s="2"/>
      <c r="D244" s="2"/>
      <c r="E244" s="2"/>
      <c r="F244" s="2"/>
      <c r="G244" s="2"/>
      <c r="H244" s="2"/>
      <c r="I244" s="2"/>
      <c r="J244" s="2"/>
      <c r="K244" s="2"/>
      <c r="L244" s="5"/>
      <c r="M244" s="5"/>
      <c r="N244" s="5"/>
      <c r="O244" s="5"/>
      <c r="P244" s="7" t="str">
        <f t="shared" ca="1" si="6"/>
        <v/>
      </c>
      <c r="Q244" s="8" t="str">
        <f t="shared" ca="1" si="7"/>
        <v/>
      </c>
      <c r="R244" s="6"/>
      <c r="S244" s="4"/>
      <c r="T244" s="4"/>
      <c r="U244" s="4"/>
      <c r="V244" s="2"/>
      <c r="W244" s="2"/>
      <c r="X244" s="4"/>
      <c r="Y244" s="4"/>
    </row>
    <row r="245" spans="1:25" ht="28" customHeight="1">
      <c r="A245" s="2"/>
      <c r="B245" s="4"/>
      <c r="C245" s="2"/>
      <c r="D245" s="2"/>
      <c r="E245" s="2"/>
      <c r="F245" s="2"/>
      <c r="G245" s="2"/>
      <c r="H245" s="2"/>
      <c r="I245" s="2"/>
      <c r="J245" s="2"/>
      <c r="K245" s="2"/>
      <c r="L245" s="5"/>
      <c r="M245" s="5"/>
      <c r="N245" s="5"/>
      <c r="O245" s="5"/>
      <c r="P245" s="7" t="str">
        <f t="shared" ca="1" si="6"/>
        <v/>
      </c>
      <c r="Q245" s="8" t="str">
        <f t="shared" ca="1" si="7"/>
        <v/>
      </c>
      <c r="R245" s="6"/>
      <c r="S245" s="4"/>
      <c r="T245" s="4"/>
      <c r="U245" s="4"/>
      <c r="V245" s="2"/>
      <c r="W245" s="2"/>
      <c r="X245" s="4"/>
      <c r="Y245" s="4"/>
    </row>
    <row r="246" spans="1:25" ht="28" customHeight="1">
      <c r="A246" s="2"/>
      <c r="B246" s="4"/>
      <c r="C246" s="2"/>
      <c r="D246" s="2"/>
      <c r="E246" s="2"/>
      <c r="F246" s="2"/>
      <c r="G246" s="2"/>
      <c r="H246" s="2"/>
      <c r="I246" s="2"/>
      <c r="J246" s="2"/>
      <c r="K246" s="2"/>
      <c r="L246" s="5"/>
      <c r="M246" s="5"/>
      <c r="N246" s="5"/>
      <c r="O246" s="5"/>
      <c r="P246" s="7" t="str">
        <f t="shared" ca="1" si="6"/>
        <v/>
      </c>
      <c r="Q246" s="8" t="str">
        <f t="shared" ca="1" si="7"/>
        <v/>
      </c>
      <c r="R246" s="6"/>
      <c r="S246" s="4"/>
      <c r="T246" s="4"/>
      <c r="U246" s="4"/>
      <c r="V246" s="2"/>
      <c r="W246" s="2"/>
      <c r="X246" s="4"/>
      <c r="Y246" s="4"/>
    </row>
    <row r="247" spans="1:25" ht="28" customHeight="1">
      <c r="A247" s="2"/>
      <c r="B247" s="4"/>
      <c r="C247" s="2"/>
      <c r="D247" s="2"/>
      <c r="E247" s="2"/>
      <c r="F247" s="2"/>
      <c r="G247" s="2"/>
      <c r="H247" s="2"/>
      <c r="I247" s="2"/>
      <c r="J247" s="2"/>
      <c r="K247" s="2"/>
      <c r="L247" s="5"/>
      <c r="M247" s="5"/>
      <c r="N247" s="5"/>
      <c r="O247" s="5"/>
      <c r="P247" s="7" t="str">
        <f t="shared" ca="1" si="6"/>
        <v/>
      </c>
      <c r="Q247" s="8" t="str">
        <f t="shared" ca="1" si="7"/>
        <v/>
      </c>
      <c r="R247" s="6"/>
      <c r="S247" s="4"/>
      <c r="T247" s="4"/>
      <c r="U247" s="4"/>
      <c r="V247" s="2"/>
      <c r="W247" s="2"/>
      <c r="X247" s="4"/>
      <c r="Y247" s="4"/>
    </row>
    <row r="248" spans="1:25" ht="28" customHeight="1">
      <c r="A248" s="2"/>
      <c r="B248" s="4"/>
      <c r="C248" s="2"/>
      <c r="D248" s="2"/>
      <c r="E248" s="2"/>
      <c r="F248" s="2"/>
      <c r="G248" s="2"/>
      <c r="H248" s="2"/>
      <c r="I248" s="2"/>
      <c r="J248" s="2"/>
      <c r="K248" s="2"/>
      <c r="L248" s="5"/>
      <c r="M248" s="5"/>
      <c r="N248" s="5"/>
      <c r="O248" s="5"/>
      <c r="P248" s="7" t="str">
        <f t="shared" ca="1" si="6"/>
        <v/>
      </c>
      <c r="Q248" s="8" t="str">
        <f t="shared" ca="1" si="7"/>
        <v/>
      </c>
      <c r="R248" s="6"/>
      <c r="S248" s="4"/>
      <c r="T248" s="4"/>
      <c r="U248" s="4"/>
      <c r="V248" s="2"/>
      <c r="W248" s="2"/>
      <c r="X248" s="4"/>
      <c r="Y248" s="4"/>
    </row>
    <row r="249" spans="1:25" ht="28" customHeight="1">
      <c r="A249" s="2"/>
      <c r="B249" s="4"/>
      <c r="C249" s="2"/>
      <c r="D249" s="2"/>
      <c r="E249" s="2"/>
      <c r="F249" s="2"/>
      <c r="G249" s="2"/>
      <c r="H249" s="2"/>
      <c r="I249" s="2"/>
      <c r="J249" s="2"/>
      <c r="K249" s="2"/>
      <c r="L249" s="5"/>
      <c r="M249" s="5"/>
      <c r="N249" s="5"/>
      <c r="O249" s="5"/>
      <c r="P249" s="7" t="str">
        <f t="shared" ca="1" si="6"/>
        <v/>
      </c>
      <c r="Q249" s="8" t="str">
        <f t="shared" ca="1" si="7"/>
        <v/>
      </c>
      <c r="R249" s="6"/>
      <c r="S249" s="4"/>
      <c r="T249" s="4"/>
      <c r="U249" s="4"/>
      <c r="V249" s="2"/>
      <c r="W249" s="2"/>
      <c r="X249" s="4"/>
      <c r="Y249" s="4"/>
    </row>
    <row r="250" spans="1:25" ht="28" customHeight="1">
      <c r="A250" s="2"/>
      <c r="B250" s="4"/>
      <c r="C250" s="2"/>
      <c r="D250" s="2"/>
      <c r="E250" s="2"/>
      <c r="F250" s="2"/>
      <c r="G250" s="2"/>
      <c r="H250" s="2"/>
      <c r="I250" s="2"/>
      <c r="J250" s="2"/>
      <c r="K250" s="2"/>
      <c r="L250" s="5"/>
      <c r="M250" s="5"/>
      <c r="N250" s="5"/>
      <c r="O250" s="5"/>
      <c r="P250" s="7" t="str">
        <f t="shared" ca="1" si="6"/>
        <v/>
      </c>
      <c r="Q250" s="8" t="str">
        <f t="shared" ca="1" si="7"/>
        <v/>
      </c>
      <c r="R250" s="6"/>
      <c r="S250" s="4"/>
      <c r="T250" s="4"/>
      <c r="U250" s="4"/>
      <c r="V250" s="2"/>
      <c r="W250" s="2"/>
      <c r="X250" s="4"/>
      <c r="Y250" s="4"/>
    </row>
    <row r="251" spans="1:25" ht="28" customHeight="1">
      <c r="A251" s="2"/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5"/>
      <c r="M251" s="5"/>
      <c r="N251" s="5"/>
      <c r="O251" s="5"/>
      <c r="P251" s="7" t="str">
        <f t="shared" ca="1" si="6"/>
        <v/>
      </c>
      <c r="Q251" s="8" t="str">
        <f t="shared" ca="1" si="7"/>
        <v/>
      </c>
      <c r="R251" s="6"/>
      <c r="S251" s="4"/>
      <c r="T251" s="4"/>
      <c r="U251" s="4"/>
      <c r="V251" s="2"/>
      <c r="W251" s="2"/>
      <c r="X251" s="4"/>
      <c r="Y251" s="4"/>
    </row>
    <row r="252" spans="1:25" ht="28" customHeight="1">
      <c r="A252" s="2"/>
      <c r="B252" s="4"/>
      <c r="C252" s="2"/>
      <c r="D252" s="2"/>
      <c r="E252" s="2"/>
      <c r="F252" s="2"/>
      <c r="G252" s="2"/>
      <c r="H252" s="2"/>
      <c r="I252" s="2"/>
      <c r="J252" s="2"/>
      <c r="K252" s="2"/>
      <c r="L252" s="5"/>
      <c r="M252" s="5"/>
      <c r="N252" s="5"/>
      <c r="O252" s="5"/>
      <c r="P252" s="7" t="str">
        <f t="shared" ca="1" si="6"/>
        <v/>
      </c>
      <c r="Q252" s="8" t="str">
        <f t="shared" ca="1" si="7"/>
        <v/>
      </c>
      <c r="R252" s="6"/>
      <c r="S252" s="4"/>
      <c r="T252" s="4"/>
      <c r="U252" s="4"/>
      <c r="V252" s="2"/>
      <c r="W252" s="2"/>
      <c r="X252" s="4"/>
      <c r="Y252" s="4"/>
    </row>
    <row r="253" spans="1:25" ht="28" customHeight="1">
      <c r="A253" s="2"/>
      <c r="B253" s="4"/>
      <c r="C253" s="2"/>
      <c r="D253" s="2"/>
      <c r="E253" s="2"/>
      <c r="F253" s="2"/>
      <c r="G253" s="2"/>
      <c r="H253" s="2"/>
      <c r="I253" s="2"/>
      <c r="J253" s="2"/>
      <c r="K253" s="2"/>
      <c r="L253" s="5"/>
      <c r="M253" s="5"/>
      <c r="N253" s="5"/>
      <c r="O253" s="5"/>
      <c r="P253" s="7" t="str">
        <f t="shared" ca="1" si="6"/>
        <v/>
      </c>
      <c r="Q253" s="8" t="str">
        <f t="shared" ca="1" si="7"/>
        <v/>
      </c>
      <c r="R253" s="6"/>
      <c r="S253" s="4"/>
      <c r="T253" s="4"/>
      <c r="U253" s="4"/>
      <c r="V253" s="2"/>
      <c r="W253" s="2"/>
      <c r="X253" s="4"/>
      <c r="Y253" s="4"/>
    </row>
    <row r="254" spans="1:25" ht="28" customHeight="1">
      <c r="A254" s="2"/>
      <c r="B254" s="4"/>
      <c r="C254" s="2"/>
      <c r="D254" s="2"/>
      <c r="E254" s="2"/>
      <c r="F254" s="2"/>
      <c r="G254" s="2"/>
      <c r="H254" s="2"/>
      <c r="I254" s="2"/>
      <c r="J254" s="2"/>
      <c r="K254" s="2"/>
      <c r="L254" s="5"/>
      <c r="M254" s="5"/>
      <c r="N254" s="5"/>
      <c r="O254" s="5"/>
      <c r="P254" s="7" t="str">
        <f t="shared" ca="1" si="6"/>
        <v/>
      </c>
      <c r="Q254" s="8" t="str">
        <f t="shared" ca="1" si="7"/>
        <v/>
      </c>
      <c r="R254" s="6"/>
      <c r="S254" s="4"/>
      <c r="T254" s="4"/>
      <c r="U254" s="4"/>
      <c r="V254" s="2"/>
      <c r="W254" s="2"/>
      <c r="X254" s="4"/>
      <c r="Y254" s="4"/>
    </row>
    <row r="255" spans="1:25" ht="28" customHeight="1">
      <c r="A255" s="2"/>
      <c r="B255" s="4"/>
      <c r="C255" s="2"/>
      <c r="D255" s="2"/>
      <c r="E255" s="2"/>
      <c r="F255" s="2"/>
      <c r="G255" s="2"/>
      <c r="H255" s="2"/>
      <c r="I255" s="2"/>
      <c r="J255" s="2"/>
      <c r="K255" s="2"/>
      <c r="L255" s="5"/>
      <c r="M255" s="5"/>
      <c r="N255" s="5"/>
      <c r="O255" s="5"/>
      <c r="P255" s="7" t="str">
        <f t="shared" ca="1" si="6"/>
        <v/>
      </c>
      <c r="Q255" s="8" t="str">
        <f t="shared" ca="1" si="7"/>
        <v/>
      </c>
      <c r="R255" s="6"/>
      <c r="S255" s="4"/>
      <c r="T255" s="4"/>
      <c r="U255" s="4"/>
      <c r="V255" s="2"/>
      <c r="W255" s="2"/>
      <c r="X255" s="4"/>
      <c r="Y255" s="4"/>
    </row>
    <row r="256" spans="1:25" ht="28" customHeight="1">
      <c r="A256" s="2"/>
      <c r="B256" s="4"/>
      <c r="C256" s="2"/>
      <c r="D256" s="2"/>
      <c r="E256" s="2"/>
      <c r="F256" s="2"/>
      <c r="G256" s="2"/>
      <c r="H256" s="2"/>
      <c r="I256" s="2"/>
      <c r="J256" s="2"/>
      <c r="K256" s="2"/>
      <c r="L256" s="5"/>
      <c r="M256" s="5"/>
      <c r="N256" s="5"/>
      <c r="O256" s="5"/>
      <c r="P256" s="7" t="str">
        <f t="shared" ca="1" si="6"/>
        <v/>
      </c>
      <c r="Q256" s="8" t="str">
        <f t="shared" ca="1" si="7"/>
        <v/>
      </c>
      <c r="R256" s="6"/>
      <c r="S256" s="4"/>
      <c r="T256" s="4"/>
      <c r="U256" s="4"/>
      <c r="V256" s="2"/>
      <c r="W256" s="2"/>
      <c r="X256" s="4"/>
      <c r="Y256" s="4"/>
    </row>
    <row r="257" spans="1:25" ht="28" customHeight="1">
      <c r="A257" s="2"/>
      <c r="B257" s="4"/>
      <c r="C257" s="2"/>
      <c r="D257" s="2"/>
      <c r="E257" s="2"/>
      <c r="F257" s="2"/>
      <c r="G257" s="2"/>
      <c r="H257" s="2"/>
      <c r="I257" s="2"/>
      <c r="J257" s="2"/>
      <c r="K257" s="2"/>
      <c r="L257" s="5"/>
      <c r="M257" s="5"/>
      <c r="N257" s="5"/>
      <c r="O257" s="5"/>
      <c r="P257" s="7" t="str">
        <f t="shared" ca="1" si="6"/>
        <v/>
      </c>
      <c r="Q257" s="8" t="str">
        <f t="shared" ca="1" si="7"/>
        <v/>
      </c>
      <c r="R257" s="6"/>
      <c r="S257" s="4"/>
      <c r="T257" s="4"/>
      <c r="U257" s="4"/>
      <c r="V257" s="2"/>
      <c r="W257" s="2"/>
      <c r="X257" s="4"/>
      <c r="Y257" s="4"/>
    </row>
    <row r="258" spans="1:25" ht="28" customHeight="1">
      <c r="A258" s="2"/>
      <c r="B258" s="4"/>
      <c r="C258" s="2"/>
      <c r="D258" s="2"/>
      <c r="E258" s="2"/>
      <c r="F258" s="2"/>
      <c r="G258" s="2"/>
      <c r="H258" s="2"/>
      <c r="I258" s="2"/>
      <c r="J258" s="2"/>
      <c r="K258" s="2"/>
      <c r="L258" s="5"/>
      <c r="M258" s="5"/>
      <c r="N258" s="5"/>
      <c r="O258" s="5"/>
      <c r="P258" s="7" t="str">
        <f t="shared" ca="1" si="6"/>
        <v/>
      </c>
      <c r="Q258" s="8" t="str">
        <f t="shared" ca="1" si="7"/>
        <v/>
      </c>
      <c r="R258" s="6"/>
      <c r="S258" s="4"/>
      <c r="T258" s="4"/>
      <c r="U258" s="4"/>
      <c r="V258" s="2"/>
      <c r="W258" s="2"/>
      <c r="X258" s="4"/>
      <c r="Y258" s="4"/>
    </row>
    <row r="259" spans="1:25" ht="28" customHeight="1">
      <c r="A259" s="2"/>
      <c r="B259" s="4"/>
      <c r="C259" s="2"/>
      <c r="D259" s="2"/>
      <c r="E259" s="2"/>
      <c r="F259" s="2"/>
      <c r="G259" s="2"/>
      <c r="H259" s="2"/>
      <c r="I259" s="2"/>
      <c r="J259" s="2"/>
      <c r="K259" s="2"/>
      <c r="L259" s="5"/>
      <c r="M259" s="5"/>
      <c r="N259" s="5"/>
      <c r="O259" s="5"/>
      <c r="P259" s="7" t="str">
        <f t="shared" ca="1" si="6"/>
        <v/>
      </c>
      <c r="Q259" s="8" t="str">
        <f t="shared" ca="1" si="7"/>
        <v/>
      </c>
      <c r="R259" s="6"/>
      <c r="S259" s="4"/>
      <c r="T259" s="4"/>
      <c r="U259" s="4"/>
      <c r="V259" s="2"/>
      <c r="W259" s="2"/>
      <c r="X259" s="4"/>
      <c r="Y259" s="4"/>
    </row>
    <row r="260" spans="1:25" ht="28" customHeight="1">
      <c r="A260" s="2"/>
      <c r="B260" s="4"/>
      <c r="C260" s="2"/>
      <c r="D260" s="2"/>
      <c r="E260" s="2"/>
      <c r="F260" s="2"/>
      <c r="G260" s="2"/>
      <c r="H260" s="2"/>
      <c r="I260" s="2"/>
      <c r="J260" s="2"/>
      <c r="K260" s="2"/>
      <c r="L260" s="5"/>
      <c r="M260" s="5"/>
      <c r="N260" s="5"/>
      <c r="O260" s="5"/>
      <c r="P260" s="7" t="str">
        <f t="shared" ca="1" si="6"/>
        <v/>
      </c>
      <c r="Q260" s="8" t="str">
        <f t="shared" ca="1" si="7"/>
        <v/>
      </c>
      <c r="R260" s="6"/>
      <c r="S260" s="4"/>
      <c r="T260" s="4"/>
      <c r="U260" s="4"/>
      <c r="V260" s="2"/>
      <c r="W260" s="2"/>
      <c r="X260" s="4"/>
      <c r="Y260" s="4"/>
    </row>
    <row r="261" spans="1:25" ht="28" customHeight="1">
      <c r="A261" s="2"/>
      <c r="B261" s="4"/>
      <c r="C261" s="2"/>
      <c r="D261" s="2"/>
      <c r="E261" s="2"/>
      <c r="F261" s="2"/>
      <c r="G261" s="2"/>
      <c r="H261" s="2"/>
      <c r="I261" s="2"/>
      <c r="J261" s="2"/>
      <c r="K261" s="2"/>
      <c r="L261" s="5"/>
      <c r="M261" s="5"/>
      <c r="N261" s="5"/>
      <c r="O261" s="5"/>
      <c r="P261" s="7" t="str">
        <f t="shared" ca="1" si="6"/>
        <v/>
      </c>
      <c r="Q261" s="8" t="str">
        <f t="shared" ca="1" si="7"/>
        <v/>
      </c>
      <c r="R261" s="6"/>
      <c r="S261" s="4"/>
      <c r="T261" s="4"/>
      <c r="U261" s="4"/>
      <c r="V261" s="2"/>
      <c r="W261" s="2"/>
      <c r="X261" s="4"/>
      <c r="Y261" s="4"/>
    </row>
    <row r="262" spans="1:25" ht="28" customHeight="1">
      <c r="A262" s="2"/>
      <c r="B262" s="4"/>
      <c r="C262" s="2"/>
      <c r="D262" s="2"/>
      <c r="E262" s="2"/>
      <c r="F262" s="2"/>
      <c r="G262" s="2"/>
      <c r="H262" s="2"/>
      <c r="I262" s="2"/>
      <c r="J262" s="2"/>
      <c r="K262" s="2"/>
      <c r="L262" s="5"/>
      <c r="M262" s="5"/>
      <c r="N262" s="5"/>
      <c r="O262" s="5"/>
      <c r="P262" s="7" t="str">
        <f t="shared" ca="1" si="6"/>
        <v/>
      </c>
      <c r="Q262" s="8" t="str">
        <f t="shared" ca="1" si="7"/>
        <v/>
      </c>
      <c r="R262" s="6"/>
      <c r="S262" s="4"/>
      <c r="T262" s="4"/>
      <c r="U262" s="4"/>
      <c r="V262" s="2"/>
      <c r="W262" s="2"/>
      <c r="X262" s="4"/>
      <c r="Y262" s="4"/>
    </row>
    <row r="263" spans="1:25" ht="28" customHeight="1">
      <c r="A263" s="2"/>
      <c r="B263" s="4"/>
      <c r="C263" s="2"/>
      <c r="D263" s="2"/>
      <c r="E263" s="2"/>
      <c r="F263" s="2"/>
      <c r="G263" s="2"/>
      <c r="H263" s="2"/>
      <c r="I263" s="2"/>
      <c r="J263" s="2"/>
      <c r="K263" s="2"/>
      <c r="L263" s="5"/>
      <c r="M263" s="5"/>
      <c r="N263" s="5"/>
      <c r="O263" s="5"/>
      <c r="P263" s="7" t="str">
        <f t="shared" ref="P263:P306" ca="1" si="8">IF(A263="","",IF(L263="","",MAX(0,IF(O263&lt;&gt;"",O263,TODAY())-L263)))</f>
        <v/>
      </c>
      <c r="Q263" s="8" t="str">
        <f t="shared" ref="Q263:Q306" ca="1" si="9">IF(A263="","",IF(OR(G263="Closed",G263="Duplicate",G263="Won't Fix"),"Hoàn tất",IF(M263="","Chưa đặt hạn",IF(TODAY()&gt;M263,"Quá hạn",IF(TODAY()=M263,"Đến hạn","Trong hạn")))))</f>
        <v/>
      </c>
      <c r="R263" s="6"/>
      <c r="S263" s="4"/>
      <c r="T263" s="4"/>
      <c r="U263" s="4"/>
      <c r="V263" s="2"/>
      <c r="W263" s="2"/>
      <c r="X263" s="4"/>
      <c r="Y263" s="4"/>
    </row>
    <row r="264" spans="1:25" ht="28" customHeight="1">
      <c r="A264" s="2"/>
      <c r="B264" s="4"/>
      <c r="C264" s="2"/>
      <c r="D264" s="2"/>
      <c r="E264" s="2"/>
      <c r="F264" s="2"/>
      <c r="G264" s="2"/>
      <c r="H264" s="2"/>
      <c r="I264" s="2"/>
      <c r="J264" s="2"/>
      <c r="K264" s="2"/>
      <c r="L264" s="5"/>
      <c r="M264" s="5"/>
      <c r="N264" s="5"/>
      <c r="O264" s="5"/>
      <c r="P264" s="7" t="str">
        <f t="shared" ca="1" si="8"/>
        <v/>
      </c>
      <c r="Q264" s="8" t="str">
        <f t="shared" ca="1" si="9"/>
        <v/>
      </c>
      <c r="R264" s="6"/>
      <c r="S264" s="4"/>
      <c r="T264" s="4"/>
      <c r="U264" s="4"/>
      <c r="V264" s="2"/>
      <c r="W264" s="2"/>
      <c r="X264" s="4"/>
      <c r="Y264" s="4"/>
    </row>
    <row r="265" spans="1:25" ht="28" customHeight="1">
      <c r="A265" s="2"/>
      <c r="B265" s="4"/>
      <c r="C265" s="2"/>
      <c r="D265" s="2"/>
      <c r="E265" s="2"/>
      <c r="F265" s="2"/>
      <c r="G265" s="2"/>
      <c r="H265" s="2"/>
      <c r="I265" s="2"/>
      <c r="J265" s="2"/>
      <c r="K265" s="2"/>
      <c r="L265" s="5"/>
      <c r="M265" s="5"/>
      <c r="N265" s="5"/>
      <c r="O265" s="5"/>
      <c r="P265" s="7" t="str">
        <f t="shared" ca="1" si="8"/>
        <v/>
      </c>
      <c r="Q265" s="8" t="str">
        <f t="shared" ca="1" si="9"/>
        <v/>
      </c>
      <c r="R265" s="6"/>
      <c r="S265" s="4"/>
      <c r="T265" s="4"/>
      <c r="U265" s="4"/>
      <c r="V265" s="2"/>
      <c r="W265" s="2"/>
      <c r="X265" s="4"/>
      <c r="Y265" s="4"/>
    </row>
    <row r="266" spans="1:25" ht="28" customHeight="1">
      <c r="A266" s="2"/>
      <c r="B266" s="4"/>
      <c r="C266" s="2"/>
      <c r="D266" s="2"/>
      <c r="E266" s="2"/>
      <c r="F266" s="2"/>
      <c r="G266" s="2"/>
      <c r="H266" s="2"/>
      <c r="I266" s="2"/>
      <c r="J266" s="2"/>
      <c r="K266" s="2"/>
      <c r="L266" s="5"/>
      <c r="M266" s="5"/>
      <c r="N266" s="5"/>
      <c r="O266" s="5"/>
      <c r="P266" s="7" t="str">
        <f t="shared" ca="1" si="8"/>
        <v/>
      </c>
      <c r="Q266" s="8" t="str">
        <f t="shared" ca="1" si="9"/>
        <v/>
      </c>
      <c r="R266" s="6"/>
      <c r="S266" s="4"/>
      <c r="T266" s="4"/>
      <c r="U266" s="4"/>
      <c r="V266" s="2"/>
      <c r="W266" s="2"/>
      <c r="X266" s="4"/>
      <c r="Y266" s="4"/>
    </row>
    <row r="267" spans="1:25" ht="28" customHeight="1">
      <c r="A267" s="2"/>
      <c r="B267" s="4"/>
      <c r="C267" s="2"/>
      <c r="D267" s="2"/>
      <c r="E267" s="2"/>
      <c r="F267" s="2"/>
      <c r="G267" s="2"/>
      <c r="H267" s="2"/>
      <c r="I267" s="2"/>
      <c r="J267" s="2"/>
      <c r="K267" s="2"/>
      <c r="L267" s="5"/>
      <c r="M267" s="5"/>
      <c r="N267" s="5"/>
      <c r="O267" s="5"/>
      <c r="P267" s="7" t="str">
        <f t="shared" ca="1" si="8"/>
        <v/>
      </c>
      <c r="Q267" s="8" t="str">
        <f t="shared" ca="1" si="9"/>
        <v/>
      </c>
      <c r="R267" s="6"/>
      <c r="S267" s="4"/>
      <c r="T267" s="4"/>
      <c r="U267" s="4"/>
      <c r="V267" s="2"/>
      <c r="W267" s="2"/>
      <c r="X267" s="4"/>
      <c r="Y267" s="4"/>
    </row>
    <row r="268" spans="1:25" ht="28" customHeight="1">
      <c r="A268" s="2"/>
      <c r="B268" s="4"/>
      <c r="C268" s="2"/>
      <c r="D268" s="2"/>
      <c r="E268" s="2"/>
      <c r="F268" s="2"/>
      <c r="G268" s="2"/>
      <c r="H268" s="2"/>
      <c r="I268" s="2"/>
      <c r="J268" s="2"/>
      <c r="K268" s="2"/>
      <c r="L268" s="5"/>
      <c r="M268" s="5"/>
      <c r="N268" s="5"/>
      <c r="O268" s="5"/>
      <c r="P268" s="7" t="str">
        <f t="shared" ca="1" si="8"/>
        <v/>
      </c>
      <c r="Q268" s="8" t="str">
        <f t="shared" ca="1" si="9"/>
        <v/>
      </c>
      <c r="R268" s="6"/>
      <c r="S268" s="4"/>
      <c r="T268" s="4"/>
      <c r="U268" s="4"/>
      <c r="V268" s="2"/>
      <c r="W268" s="2"/>
      <c r="X268" s="4"/>
      <c r="Y268" s="4"/>
    </row>
    <row r="269" spans="1:25" ht="28" customHeight="1">
      <c r="A269" s="2"/>
      <c r="B269" s="4"/>
      <c r="C269" s="2"/>
      <c r="D269" s="2"/>
      <c r="E269" s="2"/>
      <c r="F269" s="2"/>
      <c r="G269" s="2"/>
      <c r="H269" s="2"/>
      <c r="I269" s="2"/>
      <c r="J269" s="2"/>
      <c r="K269" s="2"/>
      <c r="L269" s="5"/>
      <c r="M269" s="5"/>
      <c r="N269" s="5"/>
      <c r="O269" s="5"/>
      <c r="P269" s="7" t="str">
        <f t="shared" ca="1" si="8"/>
        <v/>
      </c>
      <c r="Q269" s="8" t="str">
        <f t="shared" ca="1" si="9"/>
        <v/>
      </c>
      <c r="R269" s="6"/>
      <c r="S269" s="4"/>
      <c r="T269" s="4"/>
      <c r="U269" s="4"/>
      <c r="V269" s="2"/>
      <c r="W269" s="2"/>
      <c r="X269" s="4"/>
      <c r="Y269" s="4"/>
    </row>
    <row r="270" spans="1:25" ht="28" customHeight="1">
      <c r="A270" s="2"/>
      <c r="B270" s="4"/>
      <c r="C270" s="2"/>
      <c r="D270" s="2"/>
      <c r="E270" s="2"/>
      <c r="F270" s="2"/>
      <c r="G270" s="2"/>
      <c r="H270" s="2"/>
      <c r="I270" s="2"/>
      <c r="J270" s="2"/>
      <c r="K270" s="2"/>
      <c r="L270" s="5"/>
      <c r="M270" s="5"/>
      <c r="N270" s="5"/>
      <c r="O270" s="5"/>
      <c r="P270" s="7" t="str">
        <f t="shared" ca="1" si="8"/>
        <v/>
      </c>
      <c r="Q270" s="8" t="str">
        <f t="shared" ca="1" si="9"/>
        <v/>
      </c>
      <c r="R270" s="6"/>
      <c r="S270" s="4"/>
      <c r="T270" s="4"/>
      <c r="U270" s="4"/>
      <c r="V270" s="2"/>
      <c r="W270" s="2"/>
      <c r="X270" s="4"/>
      <c r="Y270" s="4"/>
    </row>
    <row r="271" spans="1:25" ht="28" customHeight="1">
      <c r="A271" s="2"/>
      <c r="B271" s="4"/>
      <c r="C271" s="2"/>
      <c r="D271" s="2"/>
      <c r="E271" s="2"/>
      <c r="F271" s="2"/>
      <c r="G271" s="2"/>
      <c r="H271" s="2"/>
      <c r="I271" s="2"/>
      <c r="J271" s="2"/>
      <c r="K271" s="2"/>
      <c r="L271" s="5"/>
      <c r="M271" s="5"/>
      <c r="N271" s="5"/>
      <c r="O271" s="5"/>
      <c r="P271" s="7" t="str">
        <f t="shared" ca="1" si="8"/>
        <v/>
      </c>
      <c r="Q271" s="8" t="str">
        <f t="shared" ca="1" si="9"/>
        <v/>
      </c>
      <c r="R271" s="6"/>
      <c r="S271" s="4"/>
      <c r="T271" s="4"/>
      <c r="U271" s="4"/>
      <c r="V271" s="2"/>
      <c r="W271" s="2"/>
      <c r="X271" s="4"/>
      <c r="Y271" s="4"/>
    </row>
    <row r="272" spans="1:25" ht="28" customHeight="1">
      <c r="A272" s="2"/>
      <c r="B272" s="4"/>
      <c r="C272" s="2"/>
      <c r="D272" s="2"/>
      <c r="E272" s="2"/>
      <c r="F272" s="2"/>
      <c r="G272" s="2"/>
      <c r="H272" s="2"/>
      <c r="I272" s="2"/>
      <c r="J272" s="2"/>
      <c r="K272" s="2"/>
      <c r="L272" s="5"/>
      <c r="M272" s="5"/>
      <c r="N272" s="5"/>
      <c r="O272" s="5"/>
      <c r="P272" s="7" t="str">
        <f t="shared" ca="1" si="8"/>
        <v/>
      </c>
      <c r="Q272" s="8" t="str">
        <f t="shared" ca="1" si="9"/>
        <v/>
      </c>
      <c r="R272" s="6"/>
      <c r="S272" s="4"/>
      <c r="T272" s="4"/>
      <c r="U272" s="4"/>
      <c r="V272" s="2"/>
      <c r="W272" s="2"/>
      <c r="X272" s="4"/>
      <c r="Y272" s="4"/>
    </row>
    <row r="273" spans="1:25" ht="28" customHeight="1">
      <c r="A273" s="2"/>
      <c r="B273" s="4"/>
      <c r="C273" s="2"/>
      <c r="D273" s="2"/>
      <c r="E273" s="2"/>
      <c r="F273" s="2"/>
      <c r="G273" s="2"/>
      <c r="H273" s="2"/>
      <c r="I273" s="2"/>
      <c r="J273" s="2"/>
      <c r="K273" s="2"/>
      <c r="L273" s="5"/>
      <c r="M273" s="5"/>
      <c r="N273" s="5"/>
      <c r="O273" s="5"/>
      <c r="P273" s="7" t="str">
        <f t="shared" ca="1" si="8"/>
        <v/>
      </c>
      <c r="Q273" s="8" t="str">
        <f t="shared" ca="1" si="9"/>
        <v/>
      </c>
      <c r="R273" s="6"/>
      <c r="S273" s="4"/>
      <c r="T273" s="4"/>
      <c r="U273" s="4"/>
      <c r="V273" s="2"/>
      <c r="W273" s="2"/>
      <c r="X273" s="4"/>
      <c r="Y273" s="4"/>
    </row>
    <row r="274" spans="1:25" ht="28" customHeight="1">
      <c r="A274" s="2"/>
      <c r="B274" s="4"/>
      <c r="C274" s="2"/>
      <c r="D274" s="2"/>
      <c r="E274" s="2"/>
      <c r="F274" s="2"/>
      <c r="G274" s="2"/>
      <c r="H274" s="2"/>
      <c r="I274" s="2"/>
      <c r="J274" s="2"/>
      <c r="K274" s="2"/>
      <c r="L274" s="5"/>
      <c r="M274" s="5"/>
      <c r="N274" s="5"/>
      <c r="O274" s="5"/>
      <c r="P274" s="7" t="str">
        <f t="shared" ca="1" si="8"/>
        <v/>
      </c>
      <c r="Q274" s="8" t="str">
        <f t="shared" ca="1" si="9"/>
        <v/>
      </c>
      <c r="R274" s="6"/>
      <c r="S274" s="4"/>
      <c r="T274" s="4"/>
      <c r="U274" s="4"/>
      <c r="V274" s="2"/>
      <c r="W274" s="2"/>
      <c r="X274" s="4"/>
      <c r="Y274" s="4"/>
    </row>
    <row r="275" spans="1:25" ht="28" customHeight="1">
      <c r="A275" s="2"/>
      <c r="B275" s="4"/>
      <c r="C275" s="2"/>
      <c r="D275" s="2"/>
      <c r="E275" s="2"/>
      <c r="F275" s="2"/>
      <c r="G275" s="2"/>
      <c r="H275" s="2"/>
      <c r="I275" s="2"/>
      <c r="J275" s="2"/>
      <c r="K275" s="2"/>
      <c r="L275" s="5"/>
      <c r="M275" s="5"/>
      <c r="N275" s="5"/>
      <c r="O275" s="5"/>
      <c r="P275" s="7" t="str">
        <f t="shared" ca="1" si="8"/>
        <v/>
      </c>
      <c r="Q275" s="8" t="str">
        <f t="shared" ca="1" si="9"/>
        <v/>
      </c>
      <c r="R275" s="6"/>
      <c r="S275" s="4"/>
      <c r="T275" s="4"/>
      <c r="U275" s="4"/>
      <c r="V275" s="2"/>
      <c r="W275" s="2"/>
      <c r="X275" s="4"/>
      <c r="Y275" s="4"/>
    </row>
    <row r="276" spans="1:25" ht="28" customHeight="1">
      <c r="A276" s="2"/>
      <c r="B276" s="4"/>
      <c r="C276" s="2"/>
      <c r="D276" s="2"/>
      <c r="E276" s="2"/>
      <c r="F276" s="2"/>
      <c r="G276" s="2"/>
      <c r="H276" s="2"/>
      <c r="I276" s="2"/>
      <c r="J276" s="2"/>
      <c r="K276" s="2"/>
      <c r="L276" s="5"/>
      <c r="M276" s="5"/>
      <c r="N276" s="5"/>
      <c r="O276" s="5"/>
      <c r="P276" s="7" t="str">
        <f t="shared" ca="1" si="8"/>
        <v/>
      </c>
      <c r="Q276" s="8" t="str">
        <f t="shared" ca="1" si="9"/>
        <v/>
      </c>
      <c r="R276" s="6"/>
      <c r="S276" s="4"/>
      <c r="T276" s="4"/>
      <c r="U276" s="4"/>
      <c r="V276" s="2"/>
      <c r="W276" s="2"/>
      <c r="X276" s="4"/>
      <c r="Y276" s="4"/>
    </row>
    <row r="277" spans="1:25" ht="28" customHeight="1">
      <c r="A277" s="2"/>
      <c r="B277" s="4"/>
      <c r="C277" s="2"/>
      <c r="D277" s="2"/>
      <c r="E277" s="2"/>
      <c r="F277" s="2"/>
      <c r="G277" s="2"/>
      <c r="H277" s="2"/>
      <c r="I277" s="2"/>
      <c r="J277" s="2"/>
      <c r="K277" s="2"/>
      <c r="L277" s="5"/>
      <c r="M277" s="5"/>
      <c r="N277" s="5"/>
      <c r="O277" s="5"/>
      <c r="P277" s="7" t="str">
        <f t="shared" ca="1" si="8"/>
        <v/>
      </c>
      <c r="Q277" s="8" t="str">
        <f t="shared" ca="1" si="9"/>
        <v/>
      </c>
      <c r="R277" s="6"/>
      <c r="S277" s="4"/>
      <c r="T277" s="4"/>
      <c r="U277" s="4"/>
      <c r="V277" s="2"/>
      <c r="W277" s="2"/>
      <c r="X277" s="4"/>
      <c r="Y277" s="4"/>
    </row>
    <row r="278" spans="1:25" ht="28" customHeight="1">
      <c r="A278" s="2"/>
      <c r="B278" s="4"/>
      <c r="C278" s="2"/>
      <c r="D278" s="2"/>
      <c r="E278" s="2"/>
      <c r="F278" s="2"/>
      <c r="G278" s="2"/>
      <c r="H278" s="2"/>
      <c r="I278" s="2"/>
      <c r="J278" s="2"/>
      <c r="K278" s="2"/>
      <c r="L278" s="5"/>
      <c r="M278" s="5"/>
      <c r="N278" s="5"/>
      <c r="O278" s="5"/>
      <c r="P278" s="7" t="str">
        <f t="shared" ca="1" si="8"/>
        <v/>
      </c>
      <c r="Q278" s="8" t="str">
        <f t="shared" ca="1" si="9"/>
        <v/>
      </c>
      <c r="R278" s="6"/>
      <c r="S278" s="4"/>
      <c r="T278" s="4"/>
      <c r="U278" s="4"/>
      <c r="V278" s="2"/>
      <c r="W278" s="2"/>
      <c r="X278" s="4"/>
      <c r="Y278" s="4"/>
    </row>
    <row r="279" spans="1:25" ht="28" customHeight="1">
      <c r="A279" s="2"/>
      <c r="B279" s="4"/>
      <c r="C279" s="2"/>
      <c r="D279" s="2"/>
      <c r="E279" s="2"/>
      <c r="F279" s="2"/>
      <c r="G279" s="2"/>
      <c r="H279" s="2"/>
      <c r="I279" s="2"/>
      <c r="J279" s="2"/>
      <c r="K279" s="2"/>
      <c r="L279" s="5"/>
      <c r="M279" s="5"/>
      <c r="N279" s="5"/>
      <c r="O279" s="5"/>
      <c r="P279" s="7" t="str">
        <f t="shared" ca="1" si="8"/>
        <v/>
      </c>
      <c r="Q279" s="8" t="str">
        <f t="shared" ca="1" si="9"/>
        <v/>
      </c>
      <c r="R279" s="6"/>
      <c r="S279" s="4"/>
      <c r="T279" s="4"/>
      <c r="U279" s="4"/>
      <c r="V279" s="2"/>
      <c r="W279" s="2"/>
      <c r="X279" s="4"/>
      <c r="Y279" s="4"/>
    </row>
    <row r="280" spans="1:25" ht="28" customHeight="1">
      <c r="A280" s="2"/>
      <c r="B280" s="4"/>
      <c r="C280" s="2"/>
      <c r="D280" s="2"/>
      <c r="E280" s="2"/>
      <c r="F280" s="2"/>
      <c r="G280" s="2"/>
      <c r="H280" s="2"/>
      <c r="I280" s="2"/>
      <c r="J280" s="2"/>
      <c r="K280" s="2"/>
      <c r="L280" s="5"/>
      <c r="M280" s="5"/>
      <c r="N280" s="5"/>
      <c r="O280" s="5"/>
      <c r="P280" s="7" t="str">
        <f t="shared" ca="1" si="8"/>
        <v/>
      </c>
      <c r="Q280" s="8" t="str">
        <f t="shared" ca="1" si="9"/>
        <v/>
      </c>
      <c r="R280" s="6"/>
      <c r="S280" s="4"/>
      <c r="T280" s="4"/>
      <c r="U280" s="4"/>
      <c r="V280" s="2"/>
      <c r="W280" s="2"/>
      <c r="X280" s="4"/>
      <c r="Y280" s="4"/>
    </row>
    <row r="281" spans="1:25" ht="28" customHeight="1">
      <c r="A281" s="2"/>
      <c r="B281" s="4"/>
      <c r="C281" s="2"/>
      <c r="D281" s="2"/>
      <c r="E281" s="2"/>
      <c r="F281" s="2"/>
      <c r="G281" s="2"/>
      <c r="H281" s="2"/>
      <c r="I281" s="2"/>
      <c r="J281" s="2"/>
      <c r="K281" s="2"/>
      <c r="L281" s="5"/>
      <c r="M281" s="5"/>
      <c r="N281" s="5"/>
      <c r="O281" s="5"/>
      <c r="P281" s="7" t="str">
        <f t="shared" ca="1" si="8"/>
        <v/>
      </c>
      <c r="Q281" s="8" t="str">
        <f t="shared" ca="1" si="9"/>
        <v/>
      </c>
      <c r="R281" s="6"/>
      <c r="S281" s="4"/>
      <c r="T281" s="4"/>
      <c r="U281" s="4"/>
      <c r="V281" s="2"/>
      <c r="W281" s="2"/>
      <c r="X281" s="4"/>
      <c r="Y281" s="4"/>
    </row>
    <row r="282" spans="1:25" ht="28" customHeight="1">
      <c r="A282" s="2"/>
      <c r="B282" s="4"/>
      <c r="C282" s="2"/>
      <c r="D282" s="2"/>
      <c r="E282" s="2"/>
      <c r="F282" s="2"/>
      <c r="G282" s="2"/>
      <c r="H282" s="2"/>
      <c r="I282" s="2"/>
      <c r="J282" s="2"/>
      <c r="K282" s="2"/>
      <c r="L282" s="5"/>
      <c r="M282" s="5"/>
      <c r="N282" s="5"/>
      <c r="O282" s="5"/>
      <c r="P282" s="7" t="str">
        <f t="shared" ca="1" si="8"/>
        <v/>
      </c>
      <c r="Q282" s="8" t="str">
        <f t="shared" ca="1" si="9"/>
        <v/>
      </c>
      <c r="R282" s="6"/>
      <c r="S282" s="4"/>
      <c r="T282" s="4"/>
      <c r="U282" s="4"/>
      <c r="V282" s="2"/>
      <c r="W282" s="2"/>
      <c r="X282" s="4"/>
      <c r="Y282" s="4"/>
    </row>
    <row r="283" spans="1:25" ht="28" customHeight="1">
      <c r="A283" s="2"/>
      <c r="B283" s="4"/>
      <c r="C283" s="2"/>
      <c r="D283" s="2"/>
      <c r="E283" s="2"/>
      <c r="F283" s="2"/>
      <c r="G283" s="2"/>
      <c r="H283" s="2"/>
      <c r="I283" s="2"/>
      <c r="J283" s="2"/>
      <c r="K283" s="2"/>
      <c r="L283" s="5"/>
      <c r="M283" s="5"/>
      <c r="N283" s="5"/>
      <c r="O283" s="5"/>
      <c r="P283" s="7" t="str">
        <f t="shared" ca="1" si="8"/>
        <v/>
      </c>
      <c r="Q283" s="8" t="str">
        <f t="shared" ca="1" si="9"/>
        <v/>
      </c>
      <c r="R283" s="6"/>
      <c r="S283" s="4"/>
      <c r="T283" s="4"/>
      <c r="U283" s="4"/>
      <c r="V283" s="2"/>
      <c r="W283" s="2"/>
      <c r="X283" s="4"/>
      <c r="Y283" s="4"/>
    </row>
    <row r="284" spans="1:25" ht="28" customHeight="1">
      <c r="A284" s="2"/>
      <c r="B284" s="4"/>
      <c r="C284" s="2"/>
      <c r="D284" s="2"/>
      <c r="E284" s="2"/>
      <c r="F284" s="2"/>
      <c r="G284" s="2"/>
      <c r="H284" s="2"/>
      <c r="I284" s="2"/>
      <c r="J284" s="2"/>
      <c r="K284" s="2"/>
      <c r="L284" s="5"/>
      <c r="M284" s="5"/>
      <c r="N284" s="5"/>
      <c r="O284" s="5"/>
      <c r="P284" s="7" t="str">
        <f t="shared" ca="1" si="8"/>
        <v/>
      </c>
      <c r="Q284" s="8" t="str">
        <f t="shared" ca="1" si="9"/>
        <v/>
      </c>
      <c r="R284" s="6"/>
      <c r="S284" s="4"/>
      <c r="T284" s="4"/>
      <c r="U284" s="4"/>
      <c r="V284" s="2"/>
      <c r="W284" s="2"/>
      <c r="X284" s="4"/>
      <c r="Y284" s="4"/>
    </row>
    <row r="285" spans="1:25" ht="28" customHeight="1">
      <c r="A285" s="2"/>
      <c r="B285" s="4"/>
      <c r="C285" s="2"/>
      <c r="D285" s="2"/>
      <c r="E285" s="2"/>
      <c r="F285" s="2"/>
      <c r="G285" s="2"/>
      <c r="H285" s="2"/>
      <c r="I285" s="2"/>
      <c r="J285" s="2"/>
      <c r="K285" s="2"/>
      <c r="L285" s="5"/>
      <c r="M285" s="5"/>
      <c r="N285" s="5"/>
      <c r="O285" s="5"/>
      <c r="P285" s="7" t="str">
        <f t="shared" ca="1" si="8"/>
        <v/>
      </c>
      <c r="Q285" s="8" t="str">
        <f t="shared" ca="1" si="9"/>
        <v/>
      </c>
      <c r="R285" s="6"/>
      <c r="S285" s="4"/>
      <c r="T285" s="4"/>
      <c r="U285" s="4"/>
      <c r="V285" s="2"/>
      <c r="W285" s="2"/>
      <c r="X285" s="4"/>
      <c r="Y285" s="4"/>
    </row>
    <row r="286" spans="1:25" ht="28" customHeight="1">
      <c r="A286" s="2"/>
      <c r="B286" s="4"/>
      <c r="C286" s="2"/>
      <c r="D286" s="2"/>
      <c r="E286" s="2"/>
      <c r="F286" s="2"/>
      <c r="G286" s="2"/>
      <c r="H286" s="2"/>
      <c r="I286" s="2"/>
      <c r="J286" s="2"/>
      <c r="K286" s="2"/>
      <c r="L286" s="5"/>
      <c r="M286" s="5"/>
      <c r="N286" s="5"/>
      <c r="O286" s="5"/>
      <c r="P286" s="7" t="str">
        <f t="shared" ca="1" si="8"/>
        <v/>
      </c>
      <c r="Q286" s="8" t="str">
        <f t="shared" ca="1" si="9"/>
        <v/>
      </c>
      <c r="R286" s="6"/>
      <c r="S286" s="4"/>
      <c r="T286" s="4"/>
      <c r="U286" s="4"/>
      <c r="V286" s="2"/>
      <c r="W286" s="2"/>
      <c r="X286" s="4"/>
      <c r="Y286" s="4"/>
    </row>
    <row r="287" spans="1:25" ht="28" customHeight="1">
      <c r="A287" s="2"/>
      <c r="B287" s="4"/>
      <c r="C287" s="2"/>
      <c r="D287" s="2"/>
      <c r="E287" s="2"/>
      <c r="F287" s="2"/>
      <c r="G287" s="2"/>
      <c r="H287" s="2"/>
      <c r="I287" s="2"/>
      <c r="J287" s="2"/>
      <c r="K287" s="2"/>
      <c r="L287" s="5"/>
      <c r="M287" s="5"/>
      <c r="N287" s="5"/>
      <c r="O287" s="5"/>
      <c r="P287" s="7" t="str">
        <f t="shared" ca="1" si="8"/>
        <v/>
      </c>
      <c r="Q287" s="8" t="str">
        <f t="shared" ca="1" si="9"/>
        <v/>
      </c>
      <c r="R287" s="6"/>
      <c r="S287" s="4"/>
      <c r="T287" s="4"/>
      <c r="U287" s="4"/>
      <c r="V287" s="2"/>
      <c r="W287" s="2"/>
      <c r="X287" s="4"/>
      <c r="Y287" s="4"/>
    </row>
    <row r="288" spans="1:25" ht="28" customHeight="1">
      <c r="A288" s="2"/>
      <c r="B288" s="4"/>
      <c r="C288" s="2"/>
      <c r="D288" s="2"/>
      <c r="E288" s="2"/>
      <c r="F288" s="2"/>
      <c r="G288" s="2"/>
      <c r="H288" s="2"/>
      <c r="I288" s="2"/>
      <c r="J288" s="2"/>
      <c r="K288" s="2"/>
      <c r="L288" s="5"/>
      <c r="M288" s="5"/>
      <c r="N288" s="5"/>
      <c r="O288" s="5"/>
      <c r="P288" s="7" t="str">
        <f t="shared" ca="1" si="8"/>
        <v/>
      </c>
      <c r="Q288" s="8" t="str">
        <f t="shared" ca="1" si="9"/>
        <v/>
      </c>
      <c r="R288" s="6"/>
      <c r="S288" s="4"/>
      <c r="T288" s="4"/>
      <c r="U288" s="4"/>
      <c r="V288" s="2"/>
      <c r="W288" s="2"/>
      <c r="X288" s="4"/>
      <c r="Y288" s="4"/>
    </row>
    <row r="289" spans="1:25" ht="28" customHeight="1">
      <c r="A289" s="2"/>
      <c r="B289" s="4"/>
      <c r="C289" s="2"/>
      <c r="D289" s="2"/>
      <c r="E289" s="2"/>
      <c r="F289" s="2"/>
      <c r="G289" s="2"/>
      <c r="H289" s="2"/>
      <c r="I289" s="2"/>
      <c r="J289" s="2"/>
      <c r="K289" s="2"/>
      <c r="L289" s="5"/>
      <c r="M289" s="5"/>
      <c r="N289" s="5"/>
      <c r="O289" s="5"/>
      <c r="P289" s="7" t="str">
        <f t="shared" ca="1" si="8"/>
        <v/>
      </c>
      <c r="Q289" s="8" t="str">
        <f t="shared" ca="1" si="9"/>
        <v/>
      </c>
      <c r="R289" s="6"/>
      <c r="S289" s="4"/>
      <c r="T289" s="4"/>
      <c r="U289" s="4"/>
      <c r="V289" s="2"/>
      <c r="W289" s="2"/>
      <c r="X289" s="4"/>
      <c r="Y289" s="4"/>
    </row>
    <row r="290" spans="1:25" ht="28" customHeight="1">
      <c r="A290" s="2"/>
      <c r="B290" s="4"/>
      <c r="C290" s="2"/>
      <c r="D290" s="2"/>
      <c r="E290" s="2"/>
      <c r="F290" s="2"/>
      <c r="G290" s="2"/>
      <c r="H290" s="2"/>
      <c r="I290" s="2"/>
      <c r="J290" s="2"/>
      <c r="K290" s="2"/>
      <c r="L290" s="5"/>
      <c r="M290" s="5"/>
      <c r="N290" s="5"/>
      <c r="O290" s="5"/>
      <c r="P290" s="7" t="str">
        <f t="shared" ca="1" si="8"/>
        <v/>
      </c>
      <c r="Q290" s="8" t="str">
        <f t="shared" ca="1" si="9"/>
        <v/>
      </c>
      <c r="R290" s="6"/>
      <c r="S290" s="4"/>
      <c r="T290" s="4"/>
      <c r="U290" s="4"/>
      <c r="V290" s="2"/>
      <c r="W290" s="2"/>
      <c r="X290" s="4"/>
      <c r="Y290" s="4"/>
    </row>
    <row r="291" spans="1:25" ht="28" customHeight="1">
      <c r="A291" s="2"/>
      <c r="B291" s="4"/>
      <c r="C291" s="2"/>
      <c r="D291" s="2"/>
      <c r="E291" s="2"/>
      <c r="F291" s="2"/>
      <c r="G291" s="2"/>
      <c r="H291" s="2"/>
      <c r="I291" s="2"/>
      <c r="J291" s="2"/>
      <c r="K291" s="2"/>
      <c r="L291" s="5"/>
      <c r="M291" s="5"/>
      <c r="N291" s="5"/>
      <c r="O291" s="5"/>
      <c r="P291" s="7" t="str">
        <f t="shared" ca="1" si="8"/>
        <v/>
      </c>
      <c r="Q291" s="8" t="str">
        <f t="shared" ca="1" si="9"/>
        <v/>
      </c>
      <c r="R291" s="6"/>
      <c r="S291" s="4"/>
      <c r="T291" s="4"/>
      <c r="U291" s="4"/>
      <c r="V291" s="2"/>
      <c r="W291" s="2"/>
      <c r="X291" s="4"/>
      <c r="Y291" s="4"/>
    </row>
    <row r="292" spans="1:25" ht="28" customHeight="1">
      <c r="A292" s="2"/>
      <c r="B292" s="4"/>
      <c r="C292" s="2"/>
      <c r="D292" s="2"/>
      <c r="E292" s="2"/>
      <c r="F292" s="2"/>
      <c r="G292" s="2"/>
      <c r="H292" s="2"/>
      <c r="I292" s="2"/>
      <c r="J292" s="2"/>
      <c r="K292" s="2"/>
      <c r="L292" s="5"/>
      <c r="M292" s="5"/>
      <c r="N292" s="5"/>
      <c r="O292" s="5"/>
      <c r="P292" s="7" t="str">
        <f t="shared" ca="1" si="8"/>
        <v/>
      </c>
      <c r="Q292" s="8" t="str">
        <f t="shared" ca="1" si="9"/>
        <v/>
      </c>
      <c r="R292" s="6"/>
      <c r="S292" s="4"/>
      <c r="T292" s="4"/>
      <c r="U292" s="4"/>
      <c r="V292" s="2"/>
      <c r="W292" s="2"/>
      <c r="X292" s="4"/>
      <c r="Y292" s="4"/>
    </row>
    <row r="293" spans="1:25" ht="28" customHeight="1">
      <c r="A293" s="2"/>
      <c r="B293" s="4"/>
      <c r="C293" s="2"/>
      <c r="D293" s="2"/>
      <c r="E293" s="2"/>
      <c r="F293" s="2"/>
      <c r="G293" s="2"/>
      <c r="H293" s="2"/>
      <c r="I293" s="2"/>
      <c r="J293" s="2"/>
      <c r="K293" s="2"/>
      <c r="L293" s="5"/>
      <c r="M293" s="5"/>
      <c r="N293" s="5"/>
      <c r="O293" s="5"/>
      <c r="P293" s="7" t="str">
        <f t="shared" ca="1" si="8"/>
        <v/>
      </c>
      <c r="Q293" s="8" t="str">
        <f t="shared" ca="1" si="9"/>
        <v/>
      </c>
      <c r="R293" s="6"/>
      <c r="S293" s="4"/>
      <c r="T293" s="4"/>
      <c r="U293" s="4"/>
      <c r="V293" s="2"/>
      <c r="W293" s="2"/>
      <c r="X293" s="4"/>
      <c r="Y293" s="4"/>
    </row>
    <row r="294" spans="1:25" ht="28" customHeight="1">
      <c r="A294" s="2"/>
      <c r="B294" s="4"/>
      <c r="C294" s="2"/>
      <c r="D294" s="2"/>
      <c r="E294" s="2"/>
      <c r="F294" s="2"/>
      <c r="G294" s="2"/>
      <c r="H294" s="2"/>
      <c r="I294" s="2"/>
      <c r="J294" s="2"/>
      <c r="K294" s="2"/>
      <c r="L294" s="5"/>
      <c r="M294" s="5"/>
      <c r="N294" s="5"/>
      <c r="O294" s="5"/>
      <c r="P294" s="7" t="str">
        <f t="shared" ca="1" si="8"/>
        <v/>
      </c>
      <c r="Q294" s="8" t="str">
        <f t="shared" ca="1" si="9"/>
        <v/>
      </c>
      <c r="R294" s="6"/>
      <c r="S294" s="4"/>
      <c r="T294" s="4"/>
      <c r="U294" s="4"/>
      <c r="V294" s="2"/>
      <c r="W294" s="2"/>
      <c r="X294" s="4"/>
      <c r="Y294" s="4"/>
    </row>
    <row r="295" spans="1:25" ht="28" customHeight="1">
      <c r="A295" s="2"/>
      <c r="B295" s="4"/>
      <c r="C295" s="2"/>
      <c r="D295" s="2"/>
      <c r="E295" s="2"/>
      <c r="F295" s="2"/>
      <c r="G295" s="2"/>
      <c r="H295" s="2"/>
      <c r="I295" s="2"/>
      <c r="J295" s="2"/>
      <c r="K295" s="2"/>
      <c r="L295" s="5"/>
      <c r="M295" s="5"/>
      <c r="N295" s="5"/>
      <c r="O295" s="5"/>
      <c r="P295" s="7" t="str">
        <f t="shared" ca="1" si="8"/>
        <v/>
      </c>
      <c r="Q295" s="8" t="str">
        <f t="shared" ca="1" si="9"/>
        <v/>
      </c>
      <c r="R295" s="6"/>
      <c r="S295" s="4"/>
      <c r="T295" s="4"/>
      <c r="U295" s="4"/>
      <c r="V295" s="2"/>
      <c r="W295" s="2"/>
      <c r="X295" s="4"/>
      <c r="Y295" s="4"/>
    </row>
    <row r="296" spans="1:25" ht="28" customHeight="1">
      <c r="A296" s="2"/>
      <c r="B296" s="4"/>
      <c r="C296" s="2"/>
      <c r="D296" s="2"/>
      <c r="E296" s="2"/>
      <c r="F296" s="2"/>
      <c r="G296" s="2"/>
      <c r="H296" s="2"/>
      <c r="I296" s="2"/>
      <c r="J296" s="2"/>
      <c r="K296" s="2"/>
      <c r="L296" s="5"/>
      <c r="M296" s="5"/>
      <c r="N296" s="5"/>
      <c r="O296" s="5"/>
      <c r="P296" s="7" t="str">
        <f t="shared" ca="1" si="8"/>
        <v/>
      </c>
      <c r="Q296" s="8" t="str">
        <f t="shared" ca="1" si="9"/>
        <v/>
      </c>
      <c r="R296" s="6"/>
      <c r="S296" s="4"/>
      <c r="T296" s="4"/>
      <c r="U296" s="4"/>
      <c r="V296" s="2"/>
      <c r="W296" s="2"/>
      <c r="X296" s="4"/>
      <c r="Y296" s="4"/>
    </row>
    <row r="297" spans="1:25" ht="28" customHeight="1">
      <c r="A297" s="2"/>
      <c r="B297" s="4"/>
      <c r="C297" s="2"/>
      <c r="D297" s="2"/>
      <c r="E297" s="2"/>
      <c r="F297" s="2"/>
      <c r="G297" s="2"/>
      <c r="H297" s="2"/>
      <c r="I297" s="2"/>
      <c r="J297" s="2"/>
      <c r="K297" s="2"/>
      <c r="L297" s="5"/>
      <c r="M297" s="5"/>
      <c r="N297" s="5"/>
      <c r="O297" s="5"/>
      <c r="P297" s="7" t="str">
        <f t="shared" ca="1" si="8"/>
        <v/>
      </c>
      <c r="Q297" s="8" t="str">
        <f t="shared" ca="1" si="9"/>
        <v/>
      </c>
      <c r="R297" s="6"/>
      <c r="S297" s="4"/>
      <c r="T297" s="4"/>
      <c r="U297" s="4"/>
      <c r="V297" s="2"/>
      <c r="W297" s="2"/>
      <c r="X297" s="4"/>
      <c r="Y297" s="4"/>
    </row>
    <row r="298" spans="1:25" ht="28" customHeight="1">
      <c r="A298" s="2"/>
      <c r="B298" s="4"/>
      <c r="C298" s="2"/>
      <c r="D298" s="2"/>
      <c r="E298" s="2"/>
      <c r="F298" s="2"/>
      <c r="G298" s="2"/>
      <c r="H298" s="2"/>
      <c r="I298" s="2"/>
      <c r="J298" s="2"/>
      <c r="K298" s="2"/>
      <c r="L298" s="5"/>
      <c r="M298" s="5"/>
      <c r="N298" s="5"/>
      <c r="O298" s="5"/>
      <c r="P298" s="7" t="str">
        <f t="shared" ca="1" si="8"/>
        <v/>
      </c>
      <c r="Q298" s="8" t="str">
        <f t="shared" ca="1" si="9"/>
        <v/>
      </c>
      <c r="R298" s="6"/>
      <c r="S298" s="4"/>
      <c r="T298" s="4"/>
      <c r="U298" s="4"/>
      <c r="V298" s="2"/>
      <c r="W298" s="2"/>
      <c r="X298" s="4"/>
      <c r="Y298" s="4"/>
    </row>
    <row r="299" spans="1:25" ht="28" customHeight="1">
      <c r="A299" s="2"/>
      <c r="B299" s="4"/>
      <c r="C299" s="2"/>
      <c r="D299" s="2"/>
      <c r="E299" s="2"/>
      <c r="F299" s="2"/>
      <c r="G299" s="2"/>
      <c r="H299" s="2"/>
      <c r="I299" s="2"/>
      <c r="J299" s="2"/>
      <c r="K299" s="2"/>
      <c r="L299" s="5"/>
      <c r="M299" s="5"/>
      <c r="N299" s="5"/>
      <c r="O299" s="5"/>
      <c r="P299" s="7" t="str">
        <f t="shared" ca="1" si="8"/>
        <v/>
      </c>
      <c r="Q299" s="8" t="str">
        <f t="shared" ca="1" si="9"/>
        <v/>
      </c>
      <c r="R299" s="6"/>
      <c r="S299" s="4"/>
      <c r="T299" s="4"/>
      <c r="U299" s="4"/>
      <c r="V299" s="2"/>
      <c r="W299" s="2"/>
      <c r="X299" s="4"/>
      <c r="Y299" s="4"/>
    </row>
    <row r="300" spans="1:25" ht="28" customHeight="1">
      <c r="A300" s="2"/>
      <c r="B300" s="4"/>
      <c r="C300" s="2"/>
      <c r="D300" s="2"/>
      <c r="E300" s="2"/>
      <c r="F300" s="2"/>
      <c r="G300" s="2"/>
      <c r="H300" s="2"/>
      <c r="I300" s="2"/>
      <c r="J300" s="2"/>
      <c r="K300" s="2"/>
      <c r="L300" s="5"/>
      <c r="M300" s="5"/>
      <c r="N300" s="5"/>
      <c r="O300" s="5"/>
      <c r="P300" s="7" t="str">
        <f t="shared" ca="1" si="8"/>
        <v/>
      </c>
      <c r="Q300" s="8" t="str">
        <f t="shared" ca="1" si="9"/>
        <v/>
      </c>
      <c r="R300" s="6"/>
      <c r="S300" s="4"/>
      <c r="T300" s="4"/>
      <c r="U300" s="4"/>
      <c r="V300" s="2"/>
      <c r="W300" s="2"/>
      <c r="X300" s="4"/>
      <c r="Y300" s="4"/>
    </row>
    <row r="301" spans="1:25" ht="28" customHeight="1">
      <c r="A301" s="2"/>
      <c r="B301" s="4"/>
      <c r="C301" s="2"/>
      <c r="D301" s="2"/>
      <c r="E301" s="2"/>
      <c r="F301" s="2"/>
      <c r="G301" s="2"/>
      <c r="H301" s="2"/>
      <c r="I301" s="2"/>
      <c r="J301" s="2"/>
      <c r="K301" s="2"/>
      <c r="L301" s="5"/>
      <c r="M301" s="5"/>
      <c r="N301" s="5"/>
      <c r="O301" s="5"/>
      <c r="P301" s="7" t="str">
        <f t="shared" ca="1" si="8"/>
        <v/>
      </c>
      <c r="Q301" s="8" t="str">
        <f t="shared" ca="1" si="9"/>
        <v/>
      </c>
      <c r="R301" s="6"/>
      <c r="S301" s="4"/>
      <c r="T301" s="4"/>
      <c r="U301" s="4"/>
      <c r="V301" s="2"/>
      <c r="W301" s="2"/>
      <c r="X301" s="4"/>
      <c r="Y301" s="4"/>
    </row>
    <row r="302" spans="1:25" ht="28" customHeight="1">
      <c r="A302" s="2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5"/>
      <c r="M302" s="5"/>
      <c r="N302" s="5"/>
      <c r="O302" s="5"/>
      <c r="P302" s="7" t="str">
        <f t="shared" ca="1" si="8"/>
        <v/>
      </c>
      <c r="Q302" s="8" t="str">
        <f t="shared" ca="1" si="9"/>
        <v/>
      </c>
      <c r="R302" s="6"/>
      <c r="S302" s="4"/>
      <c r="T302" s="4"/>
      <c r="U302" s="4"/>
      <c r="V302" s="2"/>
      <c r="W302" s="2"/>
      <c r="X302" s="4"/>
      <c r="Y302" s="4"/>
    </row>
    <row r="303" spans="1:25" ht="28" customHeight="1">
      <c r="A303" s="2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5"/>
      <c r="M303" s="5"/>
      <c r="N303" s="5"/>
      <c r="O303" s="5"/>
      <c r="P303" s="7" t="str">
        <f t="shared" ca="1" si="8"/>
        <v/>
      </c>
      <c r="Q303" s="8" t="str">
        <f t="shared" ca="1" si="9"/>
        <v/>
      </c>
      <c r="R303" s="6"/>
      <c r="S303" s="4"/>
      <c r="T303" s="4"/>
      <c r="U303" s="4"/>
      <c r="V303" s="2"/>
      <c r="W303" s="2"/>
      <c r="X303" s="4"/>
      <c r="Y303" s="4"/>
    </row>
    <row r="304" spans="1:25" ht="28" customHeight="1">
      <c r="A304" s="2"/>
      <c r="B304" s="4"/>
      <c r="C304" s="2"/>
      <c r="D304" s="2"/>
      <c r="E304" s="2"/>
      <c r="F304" s="2"/>
      <c r="G304" s="2"/>
      <c r="H304" s="2"/>
      <c r="I304" s="2"/>
      <c r="J304" s="2"/>
      <c r="K304" s="2"/>
      <c r="L304" s="5"/>
      <c r="M304" s="5"/>
      <c r="N304" s="5"/>
      <c r="O304" s="5"/>
      <c r="P304" s="7" t="str">
        <f t="shared" ca="1" si="8"/>
        <v/>
      </c>
      <c r="Q304" s="8" t="str">
        <f t="shared" ca="1" si="9"/>
        <v/>
      </c>
      <c r="R304" s="6"/>
      <c r="S304" s="4"/>
      <c r="T304" s="4"/>
      <c r="U304" s="4"/>
      <c r="V304" s="2"/>
      <c r="W304" s="2"/>
      <c r="X304" s="4"/>
      <c r="Y304" s="4"/>
    </row>
    <row r="305" spans="1:25" ht="28" customHeight="1">
      <c r="A305" s="2"/>
      <c r="B305" s="4"/>
      <c r="C305" s="2"/>
      <c r="D305" s="2"/>
      <c r="E305" s="2"/>
      <c r="F305" s="2"/>
      <c r="G305" s="2"/>
      <c r="H305" s="2"/>
      <c r="I305" s="2"/>
      <c r="J305" s="2"/>
      <c r="K305" s="2"/>
      <c r="L305" s="5"/>
      <c r="M305" s="5"/>
      <c r="N305" s="5"/>
      <c r="O305" s="5"/>
      <c r="P305" s="7" t="str">
        <f t="shared" ca="1" si="8"/>
        <v/>
      </c>
      <c r="Q305" s="8" t="str">
        <f t="shared" ca="1" si="9"/>
        <v/>
      </c>
      <c r="R305" s="6"/>
      <c r="S305" s="4"/>
      <c r="T305" s="4"/>
      <c r="U305" s="4"/>
      <c r="V305" s="2"/>
      <c r="W305" s="2"/>
      <c r="X305" s="4"/>
      <c r="Y305" s="4"/>
    </row>
    <row r="306" spans="1:25" ht="28" customHeight="1">
      <c r="A306" s="2"/>
      <c r="B306" s="4"/>
      <c r="C306" s="2"/>
      <c r="D306" s="2"/>
      <c r="E306" s="2"/>
      <c r="F306" s="2"/>
      <c r="G306" s="2"/>
      <c r="H306" s="2"/>
      <c r="I306" s="2"/>
      <c r="J306" s="2"/>
      <c r="K306" s="2"/>
      <c r="L306" s="5"/>
      <c r="M306" s="5"/>
      <c r="N306" s="5"/>
      <c r="O306" s="5"/>
      <c r="P306" s="7" t="str">
        <f t="shared" ca="1" si="8"/>
        <v/>
      </c>
      <c r="Q306" s="8" t="str">
        <f t="shared" ca="1" si="9"/>
        <v/>
      </c>
      <c r="R306" s="6"/>
      <c r="S306" s="4"/>
      <c r="T306" s="4"/>
      <c r="U306" s="4"/>
      <c r="V306" s="2"/>
      <c r="W306" s="2"/>
      <c r="X306" s="4"/>
      <c r="Y306" s="4"/>
    </row>
  </sheetData>
  <mergeCells count="3">
    <mergeCell ref="A1:Y2"/>
    <mergeCell ref="A3:Y3"/>
    <mergeCell ref="A4:Y4"/>
  </mergeCells>
  <conditionalFormatting sqref="E7:E306">
    <cfRule type="expression" dxfId="15" priority="1">
      <formula>E7="Blocker"</formula>
    </cfRule>
    <cfRule type="expression" dxfId="14" priority="2">
      <formula>E7="Critical"</formula>
    </cfRule>
    <cfRule type="expression" dxfId="13" priority="3">
      <formula>E7="Major"</formula>
    </cfRule>
    <cfRule type="expression" dxfId="12" priority="4">
      <formula>E7="Minor"</formula>
    </cfRule>
  </conditionalFormatting>
  <conditionalFormatting sqref="F7:F306">
    <cfRule type="expression" dxfId="11" priority="9">
      <formula>LEFT(F7,2)="P0"</formula>
    </cfRule>
    <cfRule type="expression" dxfId="10" priority="10">
      <formula>LEFT(F7,2)="P1"</formula>
    </cfRule>
  </conditionalFormatting>
  <conditionalFormatting sqref="G7:G306">
    <cfRule type="expression" dxfId="9" priority="5">
      <formula>G7="Closed"</formula>
    </cfRule>
    <cfRule type="expression" dxfId="8" priority="6">
      <formula>G7="Reopened"</formula>
    </cfRule>
    <cfRule type="expression" dxfId="7" priority="7">
      <formula>G7="Retest"</formula>
    </cfRule>
    <cfRule type="expression" dxfId="6" priority="8">
      <formula>G7="In Progress"</formula>
    </cfRule>
  </conditionalFormatting>
  <conditionalFormatting sqref="Q7:Q306">
    <cfRule type="expression" dxfId="5" priority="11">
      <formula>Q7="Quá hạn"</formula>
    </cfRule>
    <cfRule type="expression" dxfId="4" priority="12">
      <formula>Q7="Đến hạn"</formula>
    </cfRule>
    <cfRule type="expression" dxfId="3" priority="13">
      <formula>Q7="Hoàn tất"</formula>
    </cfRule>
  </conditionalFormatting>
  <conditionalFormatting sqref="R7:R306">
    <cfRule type="expression" dxfId="2" priority="14">
      <formula>R7&gt;0</formula>
    </cfRule>
  </conditionalFormatting>
  <dataValidations count="6">
    <dataValidation type="list" sqref="C7:C306" xr:uid="{00000000-0002-0000-0100-000000000000}">
      <formula1>INDIRECT("DanhMuc!$A$5:$A$23")</formula1>
    </dataValidation>
    <dataValidation type="list" sqref="D7:D306" xr:uid="{00000000-0002-0000-0100-000001000000}">
      <formula1>INDIRECT("DanhMuc!$B$5:$B$23")</formula1>
    </dataValidation>
    <dataValidation type="list" sqref="E7:E306" xr:uid="{00000000-0002-0000-0100-000002000000}">
      <formula1>INDIRECT("DanhMuc!$C$5:$C$23")</formula1>
    </dataValidation>
    <dataValidation type="list" sqref="F7:F306" xr:uid="{00000000-0002-0000-0100-000003000000}">
      <formula1>INDIRECT("DanhMuc!$D$5:$D$23")</formula1>
    </dataValidation>
    <dataValidation type="list" sqref="G7:G306" xr:uid="{00000000-0002-0000-0100-000004000000}">
      <formula1>INDIRECT("DanhMuc!$E$5:$E$23")</formula1>
    </dataValidation>
    <dataValidation type="list" sqref="H7:H306" xr:uid="{00000000-0002-0000-0100-000005000000}">
      <formula1>INDIRECT("DanhMuc!$F$5:$F$23")</formula1>
    </dataValidation>
  </dataValidations>
  <hyperlinks>
    <hyperlink ref="B12" r:id="rId1" xr:uid="{975AA0D6-DC44-4754-9E48-4A524E4D58C8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6"/>
  <sheetViews>
    <sheetView workbookViewId="0">
      <pane ySplit="6" topLeftCell="A7" activePane="bottomLeft" state="frozen"/>
      <selection pane="bottomLeft" sqref="A1:I2"/>
    </sheetView>
  </sheetViews>
  <sheetFormatPr defaultRowHeight="14"/>
  <cols>
    <col min="1" max="1" width="17" customWidth="1"/>
    <col min="2" max="2" width="20" customWidth="1"/>
    <col min="3" max="3" width="23" customWidth="1"/>
    <col min="4" max="5" width="19" customWidth="1"/>
    <col min="6" max="6" width="22" customWidth="1"/>
    <col min="7" max="7" width="57" customWidth="1"/>
    <col min="8" max="8" width="45" customWidth="1"/>
    <col min="9" max="9" width="33" customWidth="1"/>
  </cols>
  <sheetData>
    <row r="1" spans="1:9" ht="25" customHeight="1">
      <c r="A1" s="22" t="s">
        <v>89</v>
      </c>
      <c r="B1" s="22"/>
      <c r="C1" s="22"/>
      <c r="D1" s="22"/>
      <c r="E1" s="22"/>
      <c r="F1" s="22"/>
      <c r="G1" s="22"/>
      <c r="H1" s="22"/>
      <c r="I1" s="22"/>
    </row>
    <row r="2" spans="1:9" ht="25" customHeight="1">
      <c r="A2" s="22"/>
      <c r="B2" s="22"/>
      <c r="C2" s="22"/>
      <c r="D2" s="22"/>
      <c r="E2" s="22"/>
      <c r="F2" s="22"/>
      <c r="G2" s="22"/>
      <c r="H2" s="22"/>
      <c r="I2" s="22"/>
    </row>
    <row r="3" spans="1:9" ht="27" customHeight="1">
      <c r="A3" s="23" t="s">
        <v>90</v>
      </c>
      <c r="B3" s="23"/>
      <c r="C3" s="23"/>
      <c r="D3" s="23"/>
      <c r="E3" s="23"/>
      <c r="F3" s="23"/>
      <c r="G3" s="23"/>
      <c r="H3" s="23"/>
      <c r="I3" s="23"/>
    </row>
    <row r="4" spans="1:9" ht="30" customHeight="1">
      <c r="A4" s="47" t="s">
        <v>91</v>
      </c>
      <c r="B4" s="47"/>
      <c r="C4" s="47"/>
      <c r="D4" s="47"/>
      <c r="E4" s="47"/>
      <c r="F4" s="47"/>
      <c r="G4" s="47"/>
      <c r="H4" s="47"/>
      <c r="I4" s="47"/>
    </row>
    <row r="6" spans="1:9" ht="36" customHeight="1">
      <c r="A6" s="9" t="s">
        <v>68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85</v>
      </c>
      <c r="I6" s="9" t="s">
        <v>86</v>
      </c>
    </row>
    <row r="7" spans="1:9" ht="28" customHeight="1">
      <c r="A7" s="2"/>
      <c r="B7" s="10"/>
      <c r="C7" s="2"/>
      <c r="D7" s="2"/>
      <c r="E7" s="2"/>
      <c r="F7" s="2"/>
      <c r="G7" s="4"/>
      <c r="H7" s="2"/>
      <c r="I7" s="2"/>
    </row>
    <row r="8" spans="1:9" ht="28" customHeight="1">
      <c r="A8" s="2"/>
      <c r="B8" s="10"/>
      <c r="C8" s="2"/>
      <c r="D8" s="2"/>
      <c r="E8" s="2"/>
      <c r="F8" s="2"/>
      <c r="G8" s="4"/>
      <c r="H8" s="2"/>
      <c r="I8" s="2"/>
    </row>
    <row r="9" spans="1:9" ht="28" customHeight="1">
      <c r="A9" s="2"/>
      <c r="B9" s="10"/>
      <c r="C9" s="2"/>
      <c r="D9" s="2"/>
      <c r="E9" s="2"/>
      <c r="F9" s="2"/>
      <c r="G9" s="4"/>
      <c r="H9" s="2"/>
      <c r="I9" s="2"/>
    </row>
    <row r="10" spans="1:9" ht="28" customHeight="1">
      <c r="A10" s="2"/>
      <c r="B10" s="10"/>
      <c r="C10" s="2"/>
      <c r="D10" s="2"/>
      <c r="E10" s="2"/>
      <c r="F10" s="2"/>
      <c r="G10" s="4"/>
      <c r="H10" s="2"/>
      <c r="I10" s="2"/>
    </row>
    <row r="11" spans="1:9" ht="28" customHeight="1">
      <c r="A11" s="2"/>
      <c r="B11" s="10"/>
      <c r="C11" s="2"/>
      <c r="D11" s="2"/>
      <c r="E11" s="2"/>
      <c r="F11" s="2"/>
      <c r="G11" s="4"/>
      <c r="H11" s="2"/>
      <c r="I11" s="2"/>
    </row>
    <row r="12" spans="1:9" ht="28" customHeight="1">
      <c r="A12" s="2"/>
      <c r="B12" s="10"/>
      <c r="C12" s="2"/>
      <c r="D12" s="2"/>
      <c r="E12" s="2"/>
      <c r="F12" s="2"/>
      <c r="G12" s="4"/>
      <c r="H12" s="2"/>
      <c r="I12" s="2"/>
    </row>
    <row r="13" spans="1:9" ht="28" customHeight="1">
      <c r="A13" s="2"/>
      <c r="B13" s="10"/>
      <c r="C13" s="2"/>
      <c r="D13" s="2"/>
      <c r="E13" s="2"/>
      <c r="F13" s="2"/>
      <c r="G13" s="4"/>
      <c r="H13" s="2"/>
      <c r="I13" s="2"/>
    </row>
    <row r="14" spans="1:9" ht="28" customHeight="1">
      <c r="A14" s="2"/>
      <c r="B14" s="10"/>
      <c r="C14" s="2"/>
      <c r="D14" s="2"/>
      <c r="E14" s="2"/>
      <c r="F14" s="2"/>
      <c r="G14" s="4"/>
      <c r="H14" s="2"/>
      <c r="I14" s="2"/>
    </row>
    <row r="15" spans="1:9" ht="28" customHeight="1">
      <c r="A15" s="2"/>
      <c r="B15" s="10"/>
      <c r="C15" s="2"/>
      <c r="D15" s="2"/>
      <c r="E15" s="2"/>
      <c r="F15" s="2"/>
      <c r="G15" s="4"/>
      <c r="H15" s="2"/>
      <c r="I15" s="2"/>
    </row>
    <row r="16" spans="1:9" ht="28" customHeight="1">
      <c r="A16" s="2"/>
      <c r="B16" s="10"/>
      <c r="C16" s="2"/>
      <c r="D16" s="2"/>
      <c r="E16" s="2"/>
      <c r="F16" s="2"/>
      <c r="G16" s="4"/>
      <c r="H16" s="2"/>
      <c r="I16" s="2"/>
    </row>
    <row r="17" spans="1:9" ht="28" customHeight="1">
      <c r="A17" s="2"/>
      <c r="B17" s="10"/>
      <c r="C17" s="2"/>
      <c r="D17" s="2"/>
      <c r="E17" s="2"/>
      <c r="F17" s="2"/>
      <c r="G17" s="4"/>
      <c r="H17" s="2"/>
      <c r="I17" s="2"/>
    </row>
    <row r="18" spans="1:9" ht="28" customHeight="1">
      <c r="A18" s="2"/>
      <c r="B18" s="10"/>
      <c r="C18" s="2"/>
      <c r="D18" s="2"/>
      <c r="E18" s="2"/>
      <c r="F18" s="2"/>
      <c r="G18" s="4"/>
      <c r="H18" s="2"/>
      <c r="I18" s="2"/>
    </row>
    <row r="19" spans="1:9" ht="28" customHeight="1">
      <c r="A19" s="2"/>
      <c r="B19" s="10"/>
      <c r="C19" s="2"/>
      <c r="D19" s="2"/>
      <c r="E19" s="2"/>
      <c r="F19" s="2"/>
      <c r="G19" s="4"/>
      <c r="H19" s="2"/>
      <c r="I19" s="2"/>
    </row>
    <row r="20" spans="1:9" ht="28" customHeight="1">
      <c r="A20" s="2"/>
      <c r="B20" s="10"/>
      <c r="C20" s="2"/>
      <c r="D20" s="2"/>
      <c r="E20" s="2"/>
      <c r="F20" s="2"/>
      <c r="G20" s="4"/>
      <c r="H20" s="2"/>
      <c r="I20" s="2"/>
    </row>
    <row r="21" spans="1:9" ht="28" customHeight="1">
      <c r="A21" s="2"/>
      <c r="B21" s="10"/>
      <c r="C21" s="2"/>
      <c r="D21" s="2"/>
      <c r="E21" s="2"/>
      <c r="F21" s="2"/>
      <c r="G21" s="4"/>
      <c r="H21" s="2"/>
      <c r="I21" s="2"/>
    </row>
    <row r="22" spans="1:9" ht="28" customHeight="1">
      <c r="A22" s="2"/>
      <c r="B22" s="10"/>
      <c r="C22" s="2"/>
      <c r="D22" s="2"/>
      <c r="E22" s="2"/>
      <c r="F22" s="2"/>
      <c r="G22" s="4"/>
      <c r="H22" s="2"/>
      <c r="I22" s="2"/>
    </row>
    <row r="23" spans="1:9" ht="28" customHeight="1">
      <c r="A23" s="2"/>
      <c r="B23" s="10"/>
      <c r="C23" s="2"/>
      <c r="D23" s="2"/>
      <c r="E23" s="2"/>
      <c r="F23" s="2"/>
      <c r="G23" s="4"/>
      <c r="H23" s="2"/>
      <c r="I23" s="2"/>
    </row>
    <row r="24" spans="1:9" ht="28" customHeight="1">
      <c r="A24" s="2"/>
      <c r="B24" s="10"/>
      <c r="C24" s="2"/>
      <c r="D24" s="2"/>
      <c r="E24" s="2"/>
      <c r="F24" s="2"/>
      <c r="G24" s="4"/>
      <c r="H24" s="2"/>
      <c r="I24" s="2"/>
    </row>
    <row r="25" spans="1:9" ht="28" customHeight="1">
      <c r="A25" s="2"/>
      <c r="B25" s="10"/>
      <c r="C25" s="2"/>
      <c r="D25" s="2"/>
      <c r="E25" s="2"/>
      <c r="F25" s="2"/>
      <c r="G25" s="4"/>
      <c r="H25" s="2"/>
      <c r="I25" s="2"/>
    </row>
    <row r="26" spans="1:9" ht="28" customHeight="1">
      <c r="A26" s="2"/>
      <c r="B26" s="10"/>
      <c r="C26" s="2"/>
      <c r="D26" s="2"/>
      <c r="E26" s="2"/>
      <c r="F26" s="2"/>
      <c r="G26" s="4"/>
      <c r="H26" s="2"/>
      <c r="I26" s="2"/>
    </row>
    <row r="27" spans="1:9" ht="28" customHeight="1">
      <c r="A27" s="2"/>
      <c r="B27" s="10"/>
      <c r="C27" s="2"/>
      <c r="D27" s="2"/>
      <c r="E27" s="2"/>
      <c r="F27" s="2"/>
      <c r="G27" s="4"/>
      <c r="H27" s="2"/>
      <c r="I27" s="2"/>
    </row>
    <row r="28" spans="1:9" ht="28" customHeight="1">
      <c r="A28" s="2"/>
      <c r="B28" s="10"/>
      <c r="C28" s="2"/>
      <c r="D28" s="2"/>
      <c r="E28" s="2"/>
      <c r="F28" s="2"/>
      <c r="G28" s="4"/>
      <c r="H28" s="2"/>
      <c r="I28" s="2"/>
    </row>
    <row r="29" spans="1:9" ht="28" customHeight="1">
      <c r="A29" s="2"/>
      <c r="B29" s="10"/>
      <c r="C29" s="2"/>
      <c r="D29" s="2"/>
      <c r="E29" s="2"/>
      <c r="F29" s="2"/>
      <c r="G29" s="4"/>
      <c r="H29" s="2"/>
      <c r="I29" s="2"/>
    </row>
    <row r="30" spans="1:9" ht="28" customHeight="1">
      <c r="A30" s="2"/>
      <c r="B30" s="10"/>
      <c r="C30" s="2"/>
      <c r="D30" s="2"/>
      <c r="E30" s="2"/>
      <c r="F30" s="2"/>
      <c r="G30" s="4"/>
      <c r="H30" s="2"/>
      <c r="I30" s="2"/>
    </row>
    <row r="31" spans="1:9" ht="28" customHeight="1">
      <c r="A31" s="2"/>
      <c r="B31" s="10"/>
      <c r="C31" s="2"/>
      <c r="D31" s="2"/>
      <c r="E31" s="2"/>
      <c r="F31" s="2"/>
      <c r="G31" s="4"/>
      <c r="H31" s="2"/>
      <c r="I31" s="2"/>
    </row>
    <row r="32" spans="1:9" ht="28" customHeight="1">
      <c r="A32" s="2"/>
      <c r="B32" s="10"/>
      <c r="C32" s="2"/>
      <c r="D32" s="2"/>
      <c r="E32" s="2"/>
      <c r="F32" s="2"/>
      <c r="G32" s="4"/>
      <c r="H32" s="2"/>
      <c r="I32" s="2"/>
    </row>
    <row r="33" spans="1:9" ht="28" customHeight="1">
      <c r="A33" s="2"/>
      <c r="B33" s="10"/>
      <c r="C33" s="2"/>
      <c r="D33" s="2"/>
      <c r="E33" s="2"/>
      <c r="F33" s="2"/>
      <c r="G33" s="4"/>
      <c r="H33" s="2"/>
      <c r="I33" s="2"/>
    </row>
    <row r="34" spans="1:9" ht="28" customHeight="1">
      <c r="A34" s="2"/>
      <c r="B34" s="10"/>
      <c r="C34" s="2"/>
      <c r="D34" s="2"/>
      <c r="E34" s="2"/>
      <c r="F34" s="2"/>
      <c r="G34" s="4"/>
      <c r="H34" s="2"/>
      <c r="I34" s="2"/>
    </row>
    <row r="35" spans="1:9" ht="28" customHeight="1">
      <c r="A35" s="2"/>
      <c r="B35" s="10"/>
      <c r="C35" s="2"/>
      <c r="D35" s="2"/>
      <c r="E35" s="2"/>
      <c r="F35" s="2"/>
      <c r="G35" s="4"/>
      <c r="H35" s="2"/>
      <c r="I35" s="2"/>
    </row>
    <row r="36" spans="1:9" ht="28" customHeight="1">
      <c r="A36" s="2"/>
      <c r="B36" s="10"/>
      <c r="C36" s="2"/>
      <c r="D36" s="2"/>
      <c r="E36" s="2"/>
      <c r="F36" s="2"/>
      <c r="G36" s="4"/>
      <c r="H36" s="2"/>
      <c r="I36" s="2"/>
    </row>
    <row r="37" spans="1:9" ht="28" customHeight="1">
      <c r="A37" s="2"/>
      <c r="B37" s="10"/>
      <c r="C37" s="2"/>
      <c r="D37" s="2"/>
      <c r="E37" s="2"/>
      <c r="F37" s="2"/>
      <c r="G37" s="4"/>
      <c r="H37" s="2"/>
      <c r="I37" s="2"/>
    </row>
    <row r="38" spans="1:9" ht="28" customHeight="1">
      <c r="A38" s="2"/>
      <c r="B38" s="10"/>
      <c r="C38" s="2"/>
      <c r="D38" s="2"/>
      <c r="E38" s="2"/>
      <c r="F38" s="2"/>
      <c r="G38" s="4"/>
      <c r="H38" s="2"/>
      <c r="I38" s="2"/>
    </row>
    <row r="39" spans="1:9" ht="28" customHeight="1">
      <c r="A39" s="2"/>
      <c r="B39" s="10"/>
      <c r="C39" s="2"/>
      <c r="D39" s="2"/>
      <c r="E39" s="2"/>
      <c r="F39" s="2"/>
      <c r="G39" s="4"/>
      <c r="H39" s="2"/>
      <c r="I39" s="2"/>
    </row>
    <row r="40" spans="1:9" ht="28" customHeight="1">
      <c r="A40" s="2"/>
      <c r="B40" s="10"/>
      <c r="C40" s="2"/>
      <c r="D40" s="2"/>
      <c r="E40" s="2"/>
      <c r="F40" s="2"/>
      <c r="G40" s="4"/>
      <c r="H40" s="2"/>
      <c r="I40" s="2"/>
    </row>
    <row r="41" spans="1:9" ht="28" customHeight="1">
      <c r="A41" s="2"/>
      <c r="B41" s="10"/>
      <c r="C41" s="2"/>
      <c r="D41" s="2"/>
      <c r="E41" s="2"/>
      <c r="F41" s="2"/>
      <c r="G41" s="4"/>
      <c r="H41" s="2"/>
      <c r="I41" s="2"/>
    </row>
    <row r="42" spans="1:9" ht="28" customHeight="1">
      <c r="A42" s="2"/>
      <c r="B42" s="10"/>
      <c r="C42" s="2"/>
      <c r="D42" s="2"/>
      <c r="E42" s="2"/>
      <c r="F42" s="2"/>
      <c r="G42" s="4"/>
      <c r="H42" s="2"/>
      <c r="I42" s="2"/>
    </row>
    <row r="43" spans="1:9" ht="28" customHeight="1">
      <c r="A43" s="2"/>
      <c r="B43" s="10"/>
      <c r="C43" s="2"/>
      <c r="D43" s="2"/>
      <c r="E43" s="2"/>
      <c r="F43" s="2"/>
      <c r="G43" s="4"/>
      <c r="H43" s="2"/>
      <c r="I43" s="2"/>
    </row>
    <row r="44" spans="1:9" ht="28" customHeight="1">
      <c r="A44" s="2"/>
      <c r="B44" s="10"/>
      <c r="C44" s="2"/>
      <c r="D44" s="2"/>
      <c r="E44" s="2"/>
      <c r="F44" s="2"/>
      <c r="G44" s="4"/>
      <c r="H44" s="2"/>
      <c r="I44" s="2"/>
    </row>
    <row r="45" spans="1:9" ht="28" customHeight="1">
      <c r="A45" s="2"/>
      <c r="B45" s="10"/>
      <c r="C45" s="2"/>
      <c r="D45" s="2"/>
      <c r="E45" s="2"/>
      <c r="F45" s="2"/>
      <c r="G45" s="4"/>
      <c r="H45" s="2"/>
      <c r="I45" s="2"/>
    </row>
    <row r="46" spans="1:9" ht="28" customHeight="1">
      <c r="A46" s="2"/>
      <c r="B46" s="10"/>
      <c r="C46" s="2"/>
      <c r="D46" s="2"/>
      <c r="E46" s="2"/>
      <c r="F46" s="2"/>
      <c r="G46" s="4"/>
      <c r="H46" s="2"/>
      <c r="I46" s="2"/>
    </row>
    <row r="47" spans="1:9" ht="28" customHeight="1">
      <c r="A47" s="2"/>
      <c r="B47" s="10"/>
      <c r="C47" s="2"/>
      <c r="D47" s="2"/>
      <c r="E47" s="2"/>
      <c r="F47" s="2"/>
      <c r="G47" s="4"/>
      <c r="H47" s="2"/>
      <c r="I47" s="2"/>
    </row>
    <row r="48" spans="1:9" ht="28" customHeight="1">
      <c r="A48" s="2"/>
      <c r="B48" s="10"/>
      <c r="C48" s="2"/>
      <c r="D48" s="2"/>
      <c r="E48" s="2"/>
      <c r="F48" s="2"/>
      <c r="G48" s="4"/>
      <c r="H48" s="2"/>
      <c r="I48" s="2"/>
    </row>
    <row r="49" spans="1:9" ht="28" customHeight="1">
      <c r="A49" s="2"/>
      <c r="B49" s="10"/>
      <c r="C49" s="2"/>
      <c r="D49" s="2"/>
      <c r="E49" s="2"/>
      <c r="F49" s="2"/>
      <c r="G49" s="4"/>
      <c r="H49" s="2"/>
      <c r="I49" s="2"/>
    </row>
    <row r="50" spans="1:9" ht="28" customHeight="1">
      <c r="A50" s="2"/>
      <c r="B50" s="10"/>
      <c r="C50" s="2"/>
      <c r="D50" s="2"/>
      <c r="E50" s="2"/>
      <c r="F50" s="2"/>
      <c r="G50" s="4"/>
      <c r="H50" s="2"/>
      <c r="I50" s="2"/>
    </row>
    <row r="51" spans="1:9" ht="28" customHeight="1">
      <c r="A51" s="2"/>
      <c r="B51" s="10"/>
      <c r="C51" s="2"/>
      <c r="D51" s="2"/>
      <c r="E51" s="2"/>
      <c r="F51" s="2"/>
      <c r="G51" s="4"/>
      <c r="H51" s="2"/>
      <c r="I51" s="2"/>
    </row>
    <row r="52" spans="1:9" ht="28" customHeight="1">
      <c r="A52" s="2"/>
      <c r="B52" s="10"/>
      <c r="C52" s="2"/>
      <c r="D52" s="2"/>
      <c r="E52" s="2"/>
      <c r="F52" s="2"/>
      <c r="G52" s="4"/>
      <c r="H52" s="2"/>
      <c r="I52" s="2"/>
    </row>
    <row r="53" spans="1:9" ht="28" customHeight="1">
      <c r="A53" s="2"/>
      <c r="B53" s="10"/>
      <c r="C53" s="2"/>
      <c r="D53" s="2"/>
      <c r="E53" s="2"/>
      <c r="F53" s="2"/>
      <c r="G53" s="4"/>
      <c r="H53" s="2"/>
      <c r="I53" s="2"/>
    </row>
    <row r="54" spans="1:9" ht="28" customHeight="1">
      <c r="A54" s="2"/>
      <c r="B54" s="10"/>
      <c r="C54" s="2"/>
      <c r="D54" s="2"/>
      <c r="E54" s="2"/>
      <c r="F54" s="2"/>
      <c r="G54" s="4"/>
      <c r="H54" s="2"/>
      <c r="I54" s="2"/>
    </row>
    <row r="55" spans="1:9" ht="28" customHeight="1">
      <c r="A55" s="2"/>
      <c r="B55" s="10"/>
      <c r="C55" s="2"/>
      <c r="D55" s="2"/>
      <c r="E55" s="2"/>
      <c r="F55" s="2"/>
      <c r="G55" s="4"/>
      <c r="H55" s="2"/>
      <c r="I55" s="2"/>
    </row>
    <row r="56" spans="1:9" ht="28" customHeight="1">
      <c r="A56" s="2"/>
      <c r="B56" s="10"/>
      <c r="C56" s="2"/>
      <c r="D56" s="2"/>
      <c r="E56" s="2"/>
      <c r="F56" s="2"/>
      <c r="G56" s="4"/>
      <c r="H56" s="2"/>
      <c r="I56" s="2"/>
    </row>
    <row r="57" spans="1:9" ht="28" customHeight="1">
      <c r="A57" s="2"/>
      <c r="B57" s="10"/>
      <c r="C57" s="2"/>
      <c r="D57" s="2"/>
      <c r="E57" s="2"/>
      <c r="F57" s="2"/>
      <c r="G57" s="4"/>
      <c r="H57" s="2"/>
      <c r="I57" s="2"/>
    </row>
    <row r="58" spans="1:9" ht="28" customHeight="1">
      <c r="A58" s="2"/>
      <c r="B58" s="10"/>
      <c r="C58" s="2"/>
      <c r="D58" s="2"/>
      <c r="E58" s="2"/>
      <c r="F58" s="2"/>
      <c r="G58" s="4"/>
      <c r="H58" s="2"/>
      <c r="I58" s="2"/>
    </row>
    <row r="59" spans="1:9" ht="28" customHeight="1">
      <c r="A59" s="2"/>
      <c r="B59" s="10"/>
      <c r="C59" s="2"/>
      <c r="D59" s="2"/>
      <c r="E59" s="2"/>
      <c r="F59" s="2"/>
      <c r="G59" s="4"/>
      <c r="H59" s="2"/>
      <c r="I59" s="2"/>
    </row>
    <row r="60" spans="1:9" ht="28" customHeight="1">
      <c r="A60" s="2"/>
      <c r="B60" s="10"/>
      <c r="C60" s="2"/>
      <c r="D60" s="2"/>
      <c r="E60" s="2"/>
      <c r="F60" s="2"/>
      <c r="G60" s="4"/>
      <c r="H60" s="2"/>
      <c r="I60" s="2"/>
    </row>
    <row r="61" spans="1:9" ht="28" customHeight="1">
      <c r="A61" s="2"/>
      <c r="B61" s="10"/>
      <c r="C61" s="2"/>
      <c r="D61" s="2"/>
      <c r="E61" s="2"/>
      <c r="F61" s="2"/>
      <c r="G61" s="4"/>
      <c r="H61" s="2"/>
      <c r="I61" s="2"/>
    </row>
    <row r="62" spans="1:9" ht="28" customHeight="1">
      <c r="A62" s="2"/>
      <c r="B62" s="10"/>
      <c r="C62" s="2"/>
      <c r="D62" s="2"/>
      <c r="E62" s="2"/>
      <c r="F62" s="2"/>
      <c r="G62" s="4"/>
      <c r="H62" s="2"/>
      <c r="I62" s="2"/>
    </row>
    <row r="63" spans="1:9" ht="28" customHeight="1">
      <c r="A63" s="2"/>
      <c r="B63" s="10"/>
      <c r="C63" s="2"/>
      <c r="D63" s="2"/>
      <c r="E63" s="2"/>
      <c r="F63" s="2"/>
      <c r="G63" s="4"/>
      <c r="H63" s="2"/>
      <c r="I63" s="2"/>
    </row>
    <row r="64" spans="1:9" ht="28" customHeight="1">
      <c r="A64" s="2"/>
      <c r="B64" s="10"/>
      <c r="C64" s="2"/>
      <c r="D64" s="2"/>
      <c r="E64" s="2"/>
      <c r="F64" s="2"/>
      <c r="G64" s="4"/>
      <c r="H64" s="2"/>
      <c r="I64" s="2"/>
    </row>
    <row r="65" spans="1:9" ht="28" customHeight="1">
      <c r="A65" s="2"/>
      <c r="B65" s="10"/>
      <c r="C65" s="2"/>
      <c r="D65" s="2"/>
      <c r="E65" s="2"/>
      <c r="F65" s="2"/>
      <c r="G65" s="4"/>
      <c r="H65" s="2"/>
      <c r="I65" s="2"/>
    </row>
    <row r="66" spans="1:9" ht="28" customHeight="1">
      <c r="A66" s="2"/>
      <c r="B66" s="10"/>
      <c r="C66" s="2"/>
      <c r="D66" s="2"/>
      <c r="E66" s="2"/>
      <c r="F66" s="2"/>
      <c r="G66" s="4"/>
      <c r="H66" s="2"/>
      <c r="I66" s="2"/>
    </row>
    <row r="67" spans="1:9" ht="28" customHeight="1">
      <c r="A67" s="2"/>
      <c r="B67" s="10"/>
      <c r="C67" s="2"/>
      <c r="D67" s="2"/>
      <c r="E67" s="2"/>
      <c r="F67" s="2"/>
      <c r="G67" s="4"/>
      <c r="H67" s="2"/>
      <c r="I67" s="2"/>
    </row>
    <row r="68" spans="1:9" ht="28" customHeight="1">
      <c r="A68" s="2"/>
      <c r="B68" s="10"/>
      <c r="C68" s="2"/>
      <c r="D68" s="2"/>
      <c r="E68" s="2"/>
      <c r="F68" s="2"/>
      <c r="G68" s="4"/>
      <c r="H68" s="2"/>
      <c r="I68" s="2"/>
    </row>
    <row r="69" spans="1:9" ht="28" customHeight="1">
      <c r="A69" s="2"/>
      <c r="B69" s="10"/>
      <c r="C69" s="2"/>
      <c r="D69" s="2"/>
      <c r="E69" s="2"/>
      <c r="F69" s="2"/>
      <c r="G69" s="4"/>
      <c r="H69" s="2"/>
      <c r="I69" s="2"/>
    </row>
    <row r="70" spans="1:9" ht="28" customHeight="1">
      <c r="A70" s="2"/>
      <c r="B70" s="10"/>
      <c r="C70" s="2"/>
      <c r="D70" s="2"/>
      <c r="E70" s="2"/>
      <c r="F70" s="2"/>
      <c r="G70" s="4"/>
      <c r="H70" s="2"/>
      <c r="I70" s="2"/>
    </row>
    <row r="71" spans="1:9" ht="28" customHeight="1">
      <c r="A71" s="2"/>
      <c r="B71" s="10"/>
      <c r="C71" s="2"/>
      <c r="D71" s="2"/>
      <c r="E71" s="2"/>
      <c r="F71" s="2"/>
      <c r="G71" s="4"/>
      <c r="H71" s="2"/>
      <c r="I71" s="2"/>
    </row>
    <row r="72" spans="1:9" ht="28" customHeight="1">
      <c r="A72" s="2"/>
      <c r="B72" s="10"/>
      <c r="C72" s="2"/>
      <c r="D72" s="2"/>
      <c r="E72" s="2"/>
      <c r="F72" s="2"/>
      <c r="G72" s="4"/>
      <c r="H72" s="2"/>
      <c r="I72" s="2"/>
    </row>
    <row r="73" spans="1:9" ht="28" customHeight="1">
      <c r="A73" s="2"/>
      <c r="B73" s="10"/>
      <c r="C73" s="2"/>
      <c r="D73" s="2"/>
      <c r="E73" s="2"/>
      <c r="F73" s="2"/>
      <c r="G73" s="4"/>
      <c r="H73" s="2"/>
      <c r="I73" s="2"/>
    </row>
    <row r="74" spans="1:9" ht="28" customHeight="1">
      <c r="A74" s="2"/>
      <c r="B74" s="10"/>
      <c r="C74" s="2"/>
      <c r="D74" s="2"/>
      <c r="E74" s="2"/>
      <c r="F74" s="2"/>
      <c r="G74" s="4"/>
      <c r="H74" s="2"/>
      <c r="I74" s="2"/>
    </row>
    <row r="75" spans="1:9" ht="28" customHeight="1">
      <c r="A75" s="2"/>
      <c r="B75" s="10"/>
      <c r="C75" s="2"/>
      <c r="D75" s="2"/>
      <c r="E75" s="2"/>
      <c r="F75" s="2"/>
      <c r="G75" s="4"/>
      <c r="H75" s="2"/>
      <c r="I75" s="2"/>
    </row>
    <row r="76" spans="1:9" ht="28" customHeight="1">
      <c r="A76" s="2"/>
      <c r="B76" s="10"/>
      <c r="C76" s="2"/>
      <c r="D76" s="2"/>
      <c r="E76" s="2"/>
      <c r="F76" s="2"/>
      <c r="G76" s="4"/>
      <c r="H76" s="2"/>
      <c r="I76" s="2"/>
    </row>
    <row r="77" spans="1:9" ht="28" customHeight="1">
      <c r="A77" s="2"/>
      <c r="B77" s="10"/>
      <c r="C77" s="2"/>
      <c r="D77" s="2"/>
      <c r="E77" s="2"/>
      <c r="F77" s="2"/>
      <c r="G77" s="4"/>
      <c r="H77" s="2"/>
      <c r="I77" s="2"/>
    </row>
    <row r="78" spans="1:9" ht="28" customHeight="1">
      <c r="A78" s="2"/>
      <c r="B78" s="10"/>
      <c r="C78" s="2"/>
      <c r="D78" s="2"/>
      <c r="E78" s="2"/>
      <c r="F78" s="2"/>
      <c r="G78" s="4"/>
      <c r="H78" s="2"/>
      <c r="I78" s="2"/>
    </row>
    <row r="79" spans="1:9" ht="28" customHeight="1">
      <c r="A79" s="2"/>
      <c r="B79" s="10"/>
      <c r="C79" s="2"/>
      <c r="D79" s="2"/>
      <c r="E79" s="2"/>
      <c r="F79" s="2"/>
      <c r="G79" s="4"/>
      <c r="H79" s="2"/>
      <c r="I79" s="2"/>
    </row>
    <row r="80" spans="1:9" ht="28" customHeight="1">
      <c r="A80" s="2"/>
      <c r="B80" s="10"/>
      <c r="C80" s="2"/>
      <c r="D80" s="2"/>
      <c r="E80" s="2"/>
      <c r="F80" s="2"/>
      <c r="G80" s="4"/>
      <c r="H80" s="2"/>
      <c r="I80" s="2"/>
    </row>
    <row r="81" spans="1:9" ht="28" customHeight="1">
      <c r="A81" s="2"/>
      <c r="B81" s="10"/>
      <c r="C81" s="2"/>
      <c r="D81" s="2"/>
      <c r="E81" s="2"/>
      <c r="F81" s="2"/>
      <c r="G81" s="4"/>
      <c r="H81" s="2"/>
      <c r="I81" s="2"/>
    </row>
    <row r="82" spans="1:9" ht="28" customHeight="1">
      <c r="A82" s="2"/>
      <c r="B82" s="10"/>
      <c r="C82" s="2"/>
      <c r="D82" s="2"/>
      <c r="E82" s="2"/>
      <c r="F82" s="2"/>
      <c r="G82" s="4"/>
      <c r="H82" s="2"/>
      <c r="I82" s="2"/>
    </row>
    <row r="83" spans="1:9" ht="28" customHeight="1">
      <c r="A83" s="2"/>
      <c r="B83" s="10"/>
      <c r="C83" s="2"/>
      <c r="D83" s="2"/>
      <c r="E83" s="2"/>
      <c r="F83" s="2"/>
      <c r="G83" s="4"/>
      <c r="H83" s="2"/>
      <c r="I83" s="2"/>
    </row>
    <row r="84" spans="1:9" ht="28" customHeight="1">
      <c r="A84" s="2"/>
      <c r="B84" s="10"/>
      <c r="C84" s="2"/>
      <c r="D84" s="2"/>
      <c r="E84" s="2"/>
      <c r="F84" s="2"/>
      <c r="G84" s="4"/>
      <c r="H84" s="2"/>
      <c r="I84" s="2"/>
    </row>
    <row r="85" spans="1:9" ht="28" customHeight="1">
      <c r="A85" s="2"/>
      <c r="B85" s="10"/>
      <c r="C85" s="2"/>
      <c r="D85" s="2"/>
      <c r="E85" s="2"/>
      <c r="F85" s="2"/>
      <c r="G85" s="4"/>
      <c r="H85" s="2"/>
      <c r="I85" s="2"/>
    </row>
    <row r="86" spans="1:9" ht="28" customHeight="1">
      <c r="A86" s="2"/>
      <c r="B86" s="10"/>
      <c r="C86" s="2"/>
      <c r="D86" s="2"/>
      <c r="E86" s="2"/>
      <c r="F86" s="2"/>
      <c r="G86" s="4"/>
      <c r="H86" s="2"/>
      <c r="I86" s="2"/>
    </row>
    <row r="87" spans="1:9" ht="28" customHeight="1">
      <c r="A87" s="2"/>
      <c r="B87" s="10"/>
      <c r="C87" s="2"/>
      <c r="D87" s="2"/>
      <c r="E87" s="2"/>
      <c r="F87" s="2"/>
      <c r="G87" s="4"/>
      <c r="H87" s="2"/>
      <c r="I87" s="2"/>
    </row>
    <row r="88" spans="1:9" ht="28" customHeight="1">
      <c r="A88" s="2"/>
      <c r="B88" s="10"/>
      <c r="C88" s="2"/>
      <c r="D88" s="2"/>
      <c r="E88" s="2"/>
      <c r="F88" s="2"/>
      <c r="G88" s="4"/>
      <c r="H88" s="2"/>
      <c r="I88" s="2"/>
    </row>
    <row r="89" spans="1:9" ht="28" customHeight="1">
      <c r="A89" s="2"/>
      <c r="B89" s="10"/>
      <c r="C89" s="2"/>
      <c r="D89" s="2"/>
      <c r="E89" s="2"/>
      <c r="F89" s="2"/>
      <c r="G89" s="4"/>
      <c r="H89" s="2"/>
      <c r="I89" s="2"/>
    </row>
    <row r="90" spans="1:9" ht="28" customHeight="1">
      <c r="A90" s="2"/>
      <c r="B90" s="10"/>
      <c r="C90" s="2"/>
      <c r="D90" s="2"/>
      <c r="E90" s="2"/>
      <c r="F90" s="2"/>
      <c r="G90" s="4"/>
      <c r="H90" s="2"/>
      <c r="I90" s="2"/>
    </row>
    <row r="91" spans="1:9" ht="28" customHeight="1">
      <c r="A91" s="2"/>
      <c r="B91" s="10"/>
      <c r="C91" s="2"/>
      <c r="D91" s="2"/>
      <c r="E91" s="2"/>
      <c r="F91" s="2"/>
      <c r="G91" s="4"/>
      <c r="H91" s="2"/>
      <c r="I91" s="2"/>
    </row>
    <row r="92" spans="1:9" ht="28" customHeight="1">
      <c r="A92" s="2"/>
      <c r="B92" s="10"/>
      <c r="C92" s="2"/>
      <c r="D92" s="2"/>
      <c r="E92" s="2"/>
      <c r="F92" s="2"/>
      <c r="G92" s="4"/>
      <c r="H92" s="2"/>
      <c r="I92" s="2"/>
    </row>
    <row r="93" spans="1:9" ht="28" customHeight="1">
      <c r="A93" s="2"/>
      <c r="B93" s="10"/>
      <c r="C93" s="2"/>
      <c r="D93" s="2"/>
      <c r="E93" s="2"/>
      <c r="F93" s="2"/>
      <c r="G93" s="4"/>
      <c r="H93" s="2"/>
      <c r="I93" s="2"/>
    </row>
    <row r="94" spans="1:9" ht="28" customHeight="1">
      <c r="A94" s="2"/>
      <c r="B94" s="10"/>
      <c r="C94" s="2"/>
      <c r="D94" s="2"/>
      <c r="E94" s="2"/>
      <c r="F94" s="2"/>
      <c r="G94" s="4"/>
      <c r="H94" s="2"/>
      <c r="I94" s="2"/>
    </row>
    <row r="95" spans="1:9" ht="28" customHeight="1">
      <c r="A95" s="2"/>
      <c r="B95" s="10"/>
      <c r="C95" s="2"/>
      <c r="D95" s="2"/>
      <c r="E95" s="2"/>
      <c r="F95" s="2"/>
      <c r="G95" s="4"/>
      <c r="H95" s="2"/>
      <c r="I95" s="2"/>
    </row>
    <row r="96" spans="1:9" ht="28" customHeight="1">
      <c r="A96" s="2"/>
      <c r="B96" s="10"/>
      <c r="C96" s="2"/>
      <c r="D96" s="2"/>
      <c r="E96" s="2"/>
      <c r="F96" s="2"/>
      <c r="G96" s="4"/>
      <c r="H96" s="2"/>
      <c r="I96" s="2"/>
    </row>
    <row r="97" spans="1:9" ht="28" customHeight="1">
      <c r="A97" s="2"/>
      <c r="B97" s="10"/>
      <c r="C97" s="2"/>
      <c r="D97" s="2"/>
      <c r="E97" s="2"/>
      <c r="F97" s="2"/>
      <c r="G97" s="4"/>
      <c r="H97" s="2"/>
      <c r="I97" s="2"/>
    </row>
    <row r="98" spans="1:9" ht="28" customHeight="1">
      <c r="A98" s="2"/>
      <c r="B98" s="10"/>
      <c r="C98" s="2"/>
      <c r="D98" s="2"/>
      <c r="E98" s="2"/>
      <c r="F98" s="2"/>
      <c r="G98" s="4"/>
      <c r="H98" s="2"/>
      <c r="I98" s="2"/>
    </row>
    <row r="99" spans="1:9" ht="28" customHeight="1">
      <c r="A99" s="2"/>
      <c r="B99" s="10"/>
      <c r="C99" s="2"/>
      <c r="D99" s="2"/>
      <c r="E99" s="2"/>
      <c r="F99" s="2"/>
      <c r="G99" s="4"/>
      <c r="H99" s="2"/>
      <c r="I99" s="2"/>
    </row>
    <row r="100" spans="1:9" ht="28" customHeight="1">
      <c r="A100" s="2"/>
      <c r="B100" s="10"/>
      <c r="C100" s="2"/>
      <c r="D100" s="2"/>
      <c r="E100" s="2"/>
      <c r="F100" s="2"/>
      <c r="G100" s="4"/>
      <c r="H100" s="2"/>
      <c r="I100" s="2"/>
    </row>
    <row r="101" spans="1:9" ht="28" customHeight="1">
      <c r="A101" s="2"/>
      <c r="B101" s="10"/>
      <c r="C101" s="2"/>
      <c r="D101" s="2"/>
      <c r="E101" s="2"/>
      <c r="F101" s="2"/>
      <c r="G101" s="4"/>
      <c r="H101" s="2"/>
      <c r="I101" s="2"/>
    </row>
    <row r="102" spans="1:9" ht="28" customHeight="1">
      <c r="A102" s="2"/>
      <c r="B102" s="10"/>
      <c r="C102" s="2"/>
      <c r="D102" s="2"/>
      <c r="E102" s="2"/>
      <c r="F102" s="2"/>
      <c r="G102" s="4"/>
      <c r="H102" s="2"/>
      <c r="I102" s="2"/>
    </row>
    <row r="103" spans="1:9" ht="28" customHeight="1">
      <c r="A103" s="2"/>
      <c r="B103" s="10"/>
      <c r="C103" s="2"/>
      <c r="D103" s="2"/>
      <c r="E103" s="2"/>
      <c r="F103" s="2"/>
      <c r="G103" s="4"/>
      <c r="H103" s="2"/>
      <c r="I103" s="2"/>
    </row>
    <row r="104" spans="1:9" ht="28" customHeight="1">
      <c r="A104" s="2"/>
      <c r="B104" s="10"/>
      <c r="C104" s="2"/>
      <c r="D104" s="2"/>
      <c r="E104" s="2"/>
      <c r="F104" s="2"/>
      <c r="G104" s="4"/>
      <c r="H104" s="2"/>
      <c r="I104" s="2"/>
    </row>
    <row r="105" spans="1:9" ht="28" customHeight="1">
      <c r="A105" s="2"/>
      <c r="B105" s="10"/>
      <c r="C105" s="2"/>
      <c r="D105" s="2"/>
      <c r="E105" s="2"/>
      <c r="F105" s="2"/>
      <c r="G105" s="4"/>
      <c r="H105" s="2"/>
      <c r="I105" s="2"/>
    </row>
    <row r="106" spans="1:9" ht="28" customHeight="1">
      <c r="A106" s="2"/>
      <c r="B106" s="10"/>
      <c r="C106" s="2"/>
      <c r="D106" s="2"/>
      <c r="E106" s="2"/>
      <c r="F106" s="2"/>
      <c r="G106" s="4"/>
      <c r="H106" s="2"/>
      <c r="I106" s="2"/>
    </row>
    <row r="107" spans="1:9" ht="28" customHeight="1">
      <c r="A107" s="2"/>
      <c r="B107" s="10"/>
      <c r="C107" s="2"/>
      <c r="D107" s="2"/>
      <c r="E107" s="2"/>
      <c r="F107" s="2"/>
      <c r="G107" s="4"/>
      <c r="H107" s="2"/>
      <c r="I107" s="2"/>
    </row>
    <row r="108" spans="1:9" ht="28" customHeight="1">
      <c r="A108" s="2"/>
      <c r="B108" s="10"/>
      <c r="C108" s="2"/>
      <c r="D108" s="2"/>
      <c r="E108" s="2"/>
      <c r="F108" s="2"/>
      <c r="G108" s="4"/>
      <c r="H108" s="2"/>
      <c r="I108" s="2"/>
    </row>
    <row r="109" spans="1:9" ht="28" customHeight="1">
      <c r="A109" s="2"/>
      <c r="B109" s="10"/>
      <c r="C109" s="2"/>
      <c r="D109" s="2"/>
      <c r="E109" s="2"/>
      <c r="F109" s="2"/>
      <c r="G109" s="4"/>
      <c r="H109" s="2"/>
      <c r="I109" s="2"/>
    </row>
    <row r="110" spans="1:9" ht="28" customHeight="1">
      <c r="A110" s="2"/>
      <c r="B110" s="10"/>
      <c r="C110" s="2"/>
      <c r="D110" s="2"/>
      <c r="E110" s="2"/>
      <c r="F110" s="2"/>
      <c r="G110" s="4"/>
      <c r="H110" s="2"/>
      <c r="I110" s="2"/>
    </row>
    <row r="111" spans="1:9" ht="28" customHeight="1">
      <c r="A111" s="2"/>
      <c r="B111" s="10"/>
      <c r="C111" s="2"/>
      <c r="D111" s="2"/>
      <c r="E111" s="2"/>
      <c r="F111" s="2"/>
      <c r="G111" s="4"/>
      <c r="H111" s="2"/>
      <c r="I111" s="2"/>
    </row>
    <row r="112" spans="1:9" ht="28" customHeight="1">
      <c r="A112" s="2"/>
      <c r="B112" s="10"/>
      <c r="C112" s="2"/>
      <c r="D112" s="2"/>
      <c r="E112" s="2"/>
      <c r="F112" s="2"/>
      <c r="G112" s="4"/>
      <c r="H112" s="2"/>
      <c r="I112" s="2"/>
    </row>
    <row r="113" spans="1:9" ht="28" customHeight="1">
      <c r="A113" s="2"/>
      <c r="B113" s="10"/>
      <c r="C113" s="2"/>
      <c r="D113" s="2"/>
      <c r="E113" s="2"/>
      <c r="F113" s="2"/>
      <c r="G113" s="4"/>
      <c r="H113" s="2"/>
      <c r="I113" s="2"/>
    </row>
    <row r="114" spans="1:9" ht="28" customHeight="1">
      <c r="A114" s="2"/>
      <c r="B114" s="10"/>
      <c r="C114" s="2"/>
      <c r="D114" s="2"/>
      <c r="E114" s="2"/>
      <c r="F114" s="2"/>
      <c r="G114" s="4"/>
      <c r="H114" s="2"/>
      <c r="I114" s="2"/>
    </row>
    <row r="115" spans="1:9" ht="28" customHeight="1">
      <c r="A115" s="2"/>
      <c r="B115" s="10"/>
      <c r="C115" s="2"/>
      <c r="D115" s="2"/>
      <c r="E115" s="2"/>
      <c r="F115" s="2"/>
      <c r="G115" s="4"/>
      <c r="H115" s="2"/>
      <c r="I115" s="2"/>
    </row>
    <row r="116" spans="1:9" ht="28" customHeight="1">
      <c r="A116" s="2"/>
      <c r="B116" s="10"/>
      <c r="C116" s="2"/>
      <c r="D116" s="2"/>
      <c r="E116" s="2"/>
      <c r="F116" s="2"/>
      <c r="G116" s="4"/>
      <c r="H116" s="2"/>
      <c r="I116" s="2"/>
    </row>
    <row r="117" spans="1:9" ht="28" customHeight="1">
      <c r="A117" s="2"/>
      <c r="B117" s="10"/>
      <c r="C117" s="2"/>
      <c r="D117" s="2"/>
      <c r="E117" s="2"/>
      <c r="F117" s="2"/>
      <c r="G117" s="4"/>
      <c r="H117" s="2"/>
      <c r="I117" s="2"/>
    </row>
    <row r="118" spans="1:9" ht="28" customHeight="1">
      <c r="A118" s="2"/>
      <c r="B118" s="10"/>
      <c r="C118" s="2"/>
      <c r="D118" s="2"/>
      <c r="E118" s="2"/>
      <c r="F118" s="2"/>
      <c r="G118" s="4"/>
      <c r="H118" s="2"/>
      <c r="I118" s="2"/>
    </row>
    <row r="119" spans="1:9" ht="28" customHeight="1">
      <c r="A119" s="2"/>
      <c r="B119" s="10"/>
      <c r="C119" s="2"/>
      <c r="D119" s="2"/>
      <c r="E119" s="2"/>
      <c r="F119" s="2"/>
      <c r="G119" s="4"/>
      <c r="H119" s="2"/>
      <c r="I119" s="2"/>
    </row>
    <row r="120" spans="1:9" ht="28" customHeight="1">
      <c r="A120" s="2"/>
      <c r="B120" s="10"/>
      <c r="C120" s="2"/>
      <c r="D120" s="2"/>
      <c r="E120" s="2"/>
      <c r="F120" s="2"/>
      <c r="G120" s="4"/>
      <c r="H120" s="2"/>
      <c r="I120" s="2"/>
    </row>
    <row r="121" spans="1:9" ht="28" customHeight="1">
      <c r="A121" s="2"/>
      <c r="B121" s="10"/>
      <c r="C121" s="2"/>
      <c r="D121" s="2"/>
      <c r="E121" s="2"/>
      <c r="F121" s="2"/>
      <c r="G121" s="4"/>
      <c r="H121" s="2"/>
      <c r="I121" s="2"/>
    </row>
    <row r="122" spans="1:9" ht="28" customHeight="1">
      <c r="A122" s="2"/>
      <c r="B122" s="10"/>
      <c r="C122" s="2"/>
      <c r="D122" s="2"/>
      <c r="E122" s="2"/>
      <c r="F122" s="2"/>
      <c r="G122" s="4"/>
      <c r="H122" s="2"/>
      <c r="I122" s="2"/>
    </row>
    <row r="123" spans="1:9" ht="28" customHeight="1">
      <c r="A123" s="2"/>
      <c r="B123" s="10"/>
      <c r="C123" s="2"/>
      <c r="D123" s="2"/>
      <c r="E123" s="2"/>
      <c r="F123" s="2"/>
      <c r="G123" s="4"/>
      <c r="H123" s="2"/>
      <c r="I123" s="2"/>
    </row>
    <row r="124" spans="1:9" ht="28" customHeight="1">
      <c r="A124" s="2"/>
      <c r="B124" s="10"/>
      <c r="C124" s="2"/>
      <c r="D124" s="2"/>
      <c r="E124" s="2"/>
      <c r="F124" s="2"/>
      <c r="G124" s="4"/>
      <c r="H124" s="2"/>
      <c r="I124" s="2"/>
    </row>
    <row r="125" spans="1:9" ht="28" customHeight="1">
      <c r="A125" s="2"/>
      <c r="B125" s="10"/>
      <c r="C125" s="2"/>
      <c r="D125" s="2"/>
      <c r="E125" s="2"/>
      <c r="F125" s="2"/>
      <c r="G125" s="4"/>
      <c r="H125" s="2"/>
      <c r="I125" s="2"/>
    </row>
    <row r="126" spans="1:9" ht="28" customHeight="1">
      <c r="A126" s="2"/>
      <c r="B126" s="10"/>
      <c r="C126" s="2"/>
      <c r="D126" s="2"/>
      <c r="E126" s="2"/>
      <c r="F126" s="2"/>
      <c r="G126" s="4"/>
      <c r="H126" s="2"/>
      <c r="I126" s="2"/>
    </row>
    <row r="127" spans="1:9" ht="28" customHeight="1">
      <c r="A127" s="2"/>
      <c r="B127" s="10"/>
      <c r="C127" s="2"/>
      <c r="D127" s="2"/>
      <c r="E127" s="2"/>
      <c r="F127" s="2"/>
      <c r="G127" s="4"/>
      <c r="H127" s="2"/>
      <c r="I127" s="2"/>
    </row>
    <row r="128" spans="1:9" ht="28" customHeight="1">
      <c r="A128" s="2"/>
      <c r="B128" s="10"/>
      <c r="C128" s="2"/>
      <c r="D128" s="2"/>
      <c r="E128" s="2"/>
      <c r="F128" s="2"/>
      <c r="G128" s="4"/>
      <c r="H128" s="2"/>
      <c r="I128" s="2"/>
    </row>
    <row r="129" spans="1:9" ht="28" customHeight="1">
      <c r="A129" s="2"/>
      <c r="B129" s="10"/>
      <c r="C129" s="2"/>
      <c r="D129" s="2"/>
      <c r="E129" s="2"/>
      <c r="F129" s="2"/>
      <c r="G129" s="4"/>
      <c r="H129" s="2"/>
      <c r="I129" s="2"/>
    </row>
    <row r="130" spans="1:9" ht="28" customHeight="1">
      <c r="A130" s="2"/>
      <c r="B130" s="10"/>
      <c r="C130" s="2"/>
      <c r="D130" s="2"/>
      <c r="E130" s="2"/>
      <c r="F130" s="2"/>
      <c r="G130" s="4"/>
      <c r="H130" s="2"/>
      <c r="I130" s="2"/>
    </row>
    <row r="131" spans="1:9" ht="28" customHeight="1">
      <c r="A131" s="2"/>
      <c r="B131" s="10"/>
      <c r="C131" s="2"/>
      <c r="D131" s="2"/>
      <c r="E131" s="2"/>
      <c r="F131" s="2"/>
      <c r="G131" s="4"/>
      <c r="H131" s="2"/>
      <c r="I131" s="2"/>
    </row>
    <row r="132" spans="1:9" ht="28" customHeight="1">
      <c r="A132" s="2"/>
      <c r="B132" s="10"/>
      <c r="C132" s="2"/>
      <c r="D132" s="2"/>
      <c r="E132" s="2"/>
      <c r="F132" s="2"/>
      <c r="G132" s="4"/>
      <c r="H132" s="2"/>
      <c r="I132" s="2"/>
    </row>
    <row r="133" spans="1:9" ht="28" customHeight="1">
      <c r="A133" s="2"/>
      <c r="B133" s="10"/>
      <c r="C133" s="2"/>
      <c r="D133" s="2"/>
      <c r="E133" s="2"/>
      <c r="F133" s="2"/>
      <c r="G133" s="4"/>
      <c r="H133" s="2"/>
      <c r="I133" s="2"/>
    </row>
    <row r="134" spans="1:9" ht="28" customHeight="1">
      <c r="A134" s="2"/>
      <c r="B134" s="10"/>
      <c r="C134" s="2"/>
      <c r="D134" s="2"/>
      <c r="E134" s="2"/>
      <c r="F134" s="2"/>
      <c r="G134" s="4"/>
      <c r="H134" s="2"/>
      <c r="I134" s="2"/>
    </row>
    <row r="135" spans="1:9" ht="28" customHeight="1">
      <c r="A135" s="2"/>
      <c r="B135" s="10"/>
      <c r="C135" s="2"/>
      <c r="D135" s="2"/>
      <c r="E135" s="2"/>
      <c r="F135" s="2"/>
      <c r="G135" s="4"/>
      <c r="H135" s="2"/>
      <c r="I135" s="2"/>
    </row>
    <row r="136" spans="1:9" ht="28" customHeight="1">
      <c r="A136" s="2"/>
      <c r="B136" s="10"/>
      <c r="C136" s="2"/>
      <c r="D136" s="2"/>
      <c r="E136" s="2"/>
      <c r="F136" s="2"/>
      <c r="G136" s="4"/>
      <c r="H136" s="2"/>
      <c r="I136" s="2"/>
    </row>
    <row r="137" spans="1:9" ht="28" customHeight="1">
      <c r="A137" s="2"/>
      <c r="B137" s="10"/>
      <c r="C137" s="2"/>
      <c r="D137" s="2"/>
      <c r="E137" s="2"/>
      <c r="F137" s="2"/>
      <c r="G137" s="4"/>
      <c r="H137" s="2"/>
      <c r="I137" s="2"/>
    </row>
    <row r="138" spans="1:9" ht="28" customHeight="1">
      <c r="A138" s="2"/>
      <c r="B138" s="10"/>
      <c r="C138" s="2"/>
      <c r="D138" s="2"/>
      <c r="E138" s="2"/>
      <c r="F138" s="2"/>
      <c r="G138" s="4"/>
      <c r="H138" s="2"/>
      <c r="I138" s="2"/>
    </row>
    <row r="139" spans="1:9" ht="28" customHeight="1">
      <c r="A139" s="2"/>
      <c r="B139" s="10"/>
      <c r="C139" s="2"/>
      <c r="D139" s="2"/>
      <c r="E139" s="2"/>
      <c r="F139" s="2"/>
      <c r="G139" s="4"/>
      <c r="H139" s="2"/>
      <c r="I139" s="2"/>
    </row>
    <row r="140" spans="1:9" ht="28" customHeight="1">
      <c r="A140" s="2"/>
      <c r="B140" s="10"/>
      <c r="C140" s="2"/>
      <c r="D140" s="2"/>
      <c r="E140" s="2"/>
      <c r="F140" s="2"/>
      <c r="G140" s="4"/>
      <c r="H140" s="2"/>
      <c r="I140" s="2"/>
    </row>
    <row r="141" spans="1:9" ht="28" customHeight="1">
      <c r="A141" s="2"/>
      <c r="B141" s="10"/>
      <c r="C141" s="2"/>
      <c r="D141" s="2"/>
      <c r="E141" s="2"/>
      <c r="F141" s="2"/>
      <c r="G141" s="4"/>
      <c r="H141" s="2"/>
      <c r="I141" s="2"/>
    </row>
    <row r="142" spans="1:9" ht="28" customHeight="1">
      <c r="A142" s="2"/>
      <c r="B142" s="10"/>
      <c r="C142" s="2"/>
      <c r="D142" s="2"/>
      <c r="E142" s="2"/>
      <c r="F142" s="2"/>
      <c r="G142" s="4"/>
      <c r="H142" s="2"/>
      <c r="I142" s="2"/>
    </row>
    <row r="143" spans="1:9" ht="28" customHeight="1">
      <c r="A143" s="2"/>
      <c r="B143" s="10"/>
      <c r="C143" s="2"/>
      <c r="D143" s="2"/>
      <c r="E143" s="2"/>
      <c r="F143" s="2"/>
      <c r="G143" s="4"/>
      <c r="H143" s="2"/>
      <c r="I143" s="2"/>
    </row>
    <row r="144" spans="1:9" ht="28" customHeight="1">
      <c r="A144" s="2"/>
      <c r="B144" s="10"/>
      <c r="C144" s="2"/>
      <c r="D144" s="2"/>
      <c r="E144" s="2"/>
      <c r="F144" s="2"/>
      <c r="G144" s="4"/>
      <c r="H144" s="2"/>
      <c r="I144" s="2"/>
    </row>
    <row r="145" spans="1:9" ht="28" customHeight="1">
      <c r="A145" s="2"/>
      <c r="B145" s="10"/>
      <c r="C145" s="2"/>
      <c r="D145" s="2"/>
      <c r="E145" s="2"/>
      <c r="F145" s="2"/>
      <c r="G145" s="4"/>
      <c r="H145" s="2"/>
      <c r="I145" s="2"/>
    </row>
    <row r="146" spans="1:9" ht="28" customHeight="1">
      <c r="A146" s="2"/>
      <c r="B146" s="10"/>
      <c r="C146" s="2"/>
      <c r="D146" s="2"/>
      <c r="E146" s="2"/>
      <c r="F146" s="2"/>
      <c r="G146" s="4"/>
      <c r="H146" s="2"/>
      <c r="I146" s="2"/>
    </row>
    <row r="147" spans="1:9" ht="28" customHeight="1">
      <c r="A147" s="2"/>
      <c r="B147" s="10"/>
      <c r="C147" s="2"/>
      <c r="D147" s="2"/>
      <c r="E147" s="2"/>
      <c r="F147" s="2"/>
      <c r="G147" s="4"/>
      <c r="H147" s="2"/>
      <c r="I147" s="2"/>
    </row>
    <row r="148" spans="1:9" ht="28" customHeight="1">
      <c r="A148" s="2"/>
      <c r="B148" s="10"/>
      <c r="C148" s="2"/>
      <c r="D148" s="2"/>
      <c r="E148" s="2"/>
      <c r="F148" s="2"/>
      <c r="G148" s="4"/>
      <c r="H148" s="2"/>
      <c r="I148" s="2"/>
    </row>
    <row r="149" spans="1:9" ht="28" customHeight="1">
      <c r="A149" s="2"/>
      <c r="B149" s="10"/>
      <c r="C149" s="2"/>
      <c r="D149" s="2"/>
      <c r="E149" s="2"/>
      <c r="F149" s="2"/>
      <c r="G149" s="4"/>
      <c r="H149" s="2"/>
      <c r="I149" s="2"/>
    </row>
    <row r="150" spans="1:9" ht="28" customHeight="1">
      <c r="A150" s="2"/>
      <c r="B150" s="10"/>
      <c r="C150" s="2"/>
      <c r="D150" s="2"/>
      <c r="E150" s="2"/>
      <c r="F150" s="2"/>
      <c r="G150" s="4"/>
      <c r="H150" s="2"/>
      <c r="I150" s="2"/>
    </row>
    <row r="151" spans="1:9" ht="28" customHeight="1">
      <c r="A151" s="2"/>
      <c r="B151" s="10"/>
      <c r="C151" s="2"/>
      <c r="D151" s="2"/>
      <c r="E151" s="2"/>
      <c r="F151" s="2"/>
      <c r="G151" s="4"/>
      <c r="H151" s="2"/>
      <c r="I151" s="2"/>
    </row>
    <row r="152" spans="1:9" ht="28" customHeight="1">
      <c r="A152" s="2"/>
      <c r="B152" s="10"/>
      <c r="C152" s="2"/>
      <c r="D152" s="2"/>
      <c r="E152" s="2"/>
      <c r="F152" s="2"/>
      <c r="G152" s="4"/>
      <c r="H152" s="2"/>
      <c r="I152" s="2"/>
    </row>
    <row r="153" spans="1:9" ht="28" customHeight="1">
      <c r="A153" s="2"/>
      <c r="B153" s="10"/>
      <c r="C153" s="2"/>
      <c r="D153" s="2"/>
      <c r="E153" s="2"/>
      <c r="F153" s="2"/>
      <c r="G153" s="4"/>
      <c r="H153" s="2"/>
      <c r="I153" s="2"/>
    </row>
    <row r="154" spans="1:9" ht="28" customHeight="1">
      <c r="A154" s="2"/>
      <c r="B154" s="10"/>
      <c r="C154" s="2"/>
      <c r="D154" s="2"/>
      <c r="E154" s="2"/>
      <c r="F154" s="2"/>
      <c r="G154" s="4"/>
      <c r="H154" s="2"/>
      <c r="I154" s="2"/>
    </row>
    <row r="155" spans="1:9" ht="28" customHeight="1">
      <c r="A155" s="2"/>
      <c r="B155" s="10"/>
      <c r="C155" s="2"/>
      <c r="D155" s="2"/>
      <c r="E155" s="2"/>
      <c r="F155" s="2"/>
      <c r="G155" s="4"/>
      <c r="H155" s="2"/>
      <c r="I155" s="2"/>
    </row>
    <row r="156" spans="1:9" ht="28" customHeight="1">
      <c r="A156" s="2"/>
      <c r="B156" s="10"/>
      <c r="C156" s="2"/>
      <c r="D156" s="2"/>
      <c r="E156" s="2"/>
      <c r="F156" s="2"/>
      <c r="G156" s="4"/>
      <c r="H156" s="2"/>
      <c r="I156" s="2"/>
    </row>
    <row r="157" spans="1:9" ht="28" customHeight="1">
      <c r="A157" s="2"/>
      <c r="B157" s="10"/>
      <c r="C157" s="2"/>
      <c r="D157" s="2"/>
      <c r="E157" s="2"/>
      <c r="F157" s="2"/>
      <c r="G157" s="4"/>
      <c r="H157" s="2"/>
      <c r="I157" s="2"/>
    </row>
    <row r="158" spans="1:9" ht="28" customHeight="1">
      <c r="A158" s="2"/>
      <c r="B158" s="10"/>
      <c r="C158" s="2"/>
      <c r="D158" s="2"/>
      <c r="E158" s="2"/>
      <c r="F158" s="2"/>
      <c r="G158" s="4"/>
      <c r="H158" s="2"/>
      <c r="I158" s="2"/>
    </row>
    <row r="159" spans="1:9" ht="28" customHeight="1">
      <c r="A159" s="2"/>
      <c r="B159" s="10"/>
      <c r="C159" s="2"/>
      <c r="D159" s="2"/>
      <c r="E159" s="2"/>
      <c r="F159" s="2"/>
      <c r="G159" s="4"/>
      <c r="H159" s="2"/>
      <c r="I159" s="2"/>
    </row>
    <row r="160" spans="1:9" ht="28" customHeight="1">
      <c r="A160" s="2"/>
      <c r="B160" s="10"/>
      <c r="C160" s="2"/>
      <c r="D160" s="2"/>
      <c r="E160" s="2"/>
      <c r="F160" s="2"/>
      <c r="G160" s="4"/>
      <c r="H160" s="2"/>
      <c r="I160" s="2"/>
    </row>
    <row r="161" spans="1:9" ht="28" customHeight="1">
      <c r="A161" s="2"/>
      <c r="B161" s="10"/>
      <c r="C161" s="2"/>
      <c r="D161" s="2"/>
      <c r="E161" s="2"/>
      <c r="F161" s="2"/>
      <c r="G161" s="4"/>
      <c r="H161" s="2"/>
      <c r="I161" s="2"/>
    </row>
    <row r="162" spans="1:9" ht="28" customHeight="1">
      <c r="A162" s="2"/>
      <c r="B162" s="10"/>
      <c r="C162" s="2"/>
      <c r="D162" s="2"/>
      <c r="E162" s="2"/>
      <c r="F162" s="2"/>
      <c r="G162" s="4"/>
      <c r="H162" s="2"/>
      <c r="I162" s="2"/>
    </row>
    <row r="163" spans="1:9" ht="28" customHeight="1">
      <c r="A163" s="2"/>
      <c r="B163" s="10"/>
      <c r="C163" s="2"/>
      <c r="D163" s="2"/>
      <c r="E163" s="2"/>
      <c r="F163" s="2"/>
      <c r="G163" s="4"/>
      <c r="H163" s="2"/>
      <c r="I163" s="2"/>
    </row>
    <row r="164" spans="1:9" ht="28" customHeight="1">
      <c r="A164" s="2"/>
      <c r="B164" s="10"/>
      <c r="C164" s="2"/>
      <c r="D164" s="2"/>
      <c r="E164" s="2"/>
      <c r="F164" s="2"/>
      <c r="G164" s="4"/>
      <c r="H164" s="2"/>
      <c r="I164" s="2"/>
    </row>
    <row r="165" spans="1:9" ht="28" customHeight="1">
      <c r="A165" s="2"/>
      <c r="B165" s="10"/>
      <c r="C165" s="2"/>
      <c r="D165" s="2"/>
      <c r="E165" s="2"/>
      <c r="F165" s="2"/>
      <c r="G165" s="4"/>
      <c r="H165" s="2"/>
      <c r="I165" s="2"/>
    </row>
    <row r="166" spans="1:9" ht="28" customHeight="1">
      <c r="A166" s="2"/>
      <c r="B166" s="10"/>
      <c r="C166" s="2"/>
      <c r="D166" s="2"/>
      <c r="E166" s="2"/>
      <c r="F166" s="2"/>
      <c r="G166" s="4"/>
      <c r="H166" s="2"/>
      <c r="I166" s="2"/>
    </row>
    <row r="167" spans="1:9" ht="28" customHeight="1">
      <c r="A167" s="2"/>
      <c r="B167" s="10"/>
      <c r="C167" s="2"/>
      <c r="D167" s="2"/>
      <c r="E167" s="2"/>
      <c r="F167" s="2"/>
      <c r="G167" s="4"/>
      <c r="H167" s="2"/>
      <c r="I167" s="2"/>
    </row>
    <row r="168" spans="1:9" ht="28" customHeight="1">
      <c r="A168" s="2"/>
      <c r="B168" s="10"/>
      <c r="C168" s="2"/>
      <c r="D168" s="2"/>
      <c r="E168" s="2"/>
      <c r="F168" s="2"/>
      <c r="G168" s="4"/>
      <c r="H168" s="2"/>
      <c r="I168" s="2"/>
    </row>
    <row r="169" spans="1:9" ht="28" customHeight="1">
      <c r="A169" s="2"/>
      <c r="B169" s="10"/>
      <c r="C169" s="2"/>
      <c r="D169" s="2"/>
      <c r="E169" s="2"/>
      <c r="F169" s="2"/>
      <c r="G169" s="4"/>
      <c r="H169" s="2"/>
      <c r="I169" s="2"/>
    </row>
    <row r="170" spans="1:9" ht="28" customHeight="1">
      <c r="A170" s="2"/>
      <c r="B170" s="10"/>
      <c r="C170" s="2"/>
      <c r="D170" s="2"/>
      <c r="E170" s="2"/>
      <c r="F170" s="2"/>
      <c r="G170" s="4"/>
      <c r="H170" s="2"/>
      <c r="I170" s="2"/>
    </row>
    <row r="171" spans="1:9" ht="28" customHeight="1">
      <c r="A171" s="2"/>
      <c r="B171" s="10"/>
      <c r="C171" s="2"/>
      <c r="D171" s="2"/>
      <c r="E171" s="2"/>
      <c r="F171" s="2"/>
      <c r="G171" s="4"/>
      <c r="H171" s="2"/>
      <c r="I171" s="2"/>
    </row>
    <row r="172" spans="1:9" ht="28" customHeight="1">
      <c r="A172" s="2"/>
      <c r="B172" s="10"/>
      <c r="C172" s="2"/>
      <c r="D172" s="2"/>
      <c r="E172" s="2"/>
      <c r="F172" s="2"/>
      <c r="G172" s="4"/>
      <c r="H172" s="2"/>
      <c r="I172" s="2"/>
    </row>
    <row r="173" spans="1:9" ht="28" customHeight="1">
      <c r="A173" s="2"/>
      <c r="B173" s="10"/>
      <c r="C173" s="2"/>
      <c r="D173" s="2"/>
      <c r="E173" s="2"/>
      <c r="F173" s="2"/>
      <c r="G173" s="4"/>
      <c r="H173" s="2"/>
      <c r="I173" s="2"/>
    </row>
    <row r="174" spans="1:9" ht="28" customHeight="1">
      <c r="A174" s="2"/>
      <c r="B174" s="10"/>
      <c r="C174" s="2"/>
      <c r="D174" s="2"/>
      <c r="E174" s="2"/>
      <c r="F174" s="2"/>
      <c r="G174" s="4"/>
      <c r="H174" s="2"/>
      <c r="I174" s="2"/>
    </row>
    <row r="175" spans="1:9" ht="28" customHeight="1">
      <c r="A175" s="2"/>
      <c r="B175" s="10"/>
      <c r="C175" s="2"/>
      <c r="D175" s="2"/>
      <c r="E175" s="2"/>
      <c r="F175" s="2"/>
      <c r="G175" s="4"/>
      <c r="H175" s="2"/>
      <c r="I175" s="2"/>
    </row>
    <row r="176" spans="1:9" ht="28" customHeight="1">
      <c r="A176" s="2"/>
      <c r="B176" s="10"/>
      <c r="C176" s="2"/>
      <c r="D176" s="2"/>
      <c r="E176" s="2"/>
      <c r="F176" s="2"/>
      <c r="G176" s="4"/>
      <c r="H176" s="2"/>
      <c r="I176" s="2"/>
    </row>
    <row r="177" spans="1:9" ht="28" customHeight="1">
      <c r="A177" s="2"/>
      <c r="B177" s="10"/>
      <c r="C177" s="2"/>
      <c r="D177" s="2"/>
      <c r="E177" s="2"/>
      <c r="F177" s="2"/>
      <c r="G177" s="4"/>
      <c r="H177" s="2"/>
      <c r="I177" s="2"/>
    </row>
    <row r="178" spans="1:9" ht="28" customHeight="1">
      <c r="A178" s="2"/>
      <c r="B178" s="10"/>
      <c r="C178" s="2"/>
      <c r="D178" s="2"/>
      <c r="E178" s="2"/>
      <c r="F178" s="2"/>
      <c r="G178" s="4"/>
      <c r="H178" s="2"/>
      <c r="I178" s="2"/>
    </row>
    <row r="179" spans="1:9" ht="28" customHeight="1">
      <c r="A179" s="2"/>
      <c r="B179" s="10"/>
      <c r="C179" s="2"/>
      <c r="D179" s="2"/>
      <c r="E179" s="2"/>
      <c r="F179" s="2"/>
      <c r="G179" s="4"/>
      <c r="H179" s="2"/>
      <c r="I179" s="2"/>
    </row>
    <row r="180" spans="1:9" ht="28" customHeight="1">
      <c r="A180" s="2"/>
      <c r="B180" s="10"/>
      <c r="C180" s="2"/>
      <c r="D180" s="2"/>
      <c r="E180" s="2"/>
      <c r="F180" s="2"/>
      <c r="G180" s="4"/>
      <c r="H180" s="2"/>
      <c r="I180" s="2"/>
    </row>
    <row r="181" spans="1:9" ht="28" customHeight="1">
      <c r="A181" s="2"/>
      <c r="B181" s="10"/>
      <c r="C181" s="2"/>
      <c r="D181" s="2"/>
      <c r="E181" s="2"/>
      <c r="F181" s="2"/>
      <c r="G181" s="4"/>
      <c r="H181" s="2"/>
      <c r="I181" s="2"/>
    </row>
    <row r="182" spans="1:9" ht="28" customHeight="1">
      <c r="A182" s="2"/>
      <c r="B182" s="10"/>
      <c r="C182" s="2"/>
      <c r="D182" s="2"/>
      <c r="E182" s="2"/>
      <c r="F182" s="2"/>
      <c r="G182" s="4"/>
      <c r="H182" s="2"/>
      <c r="I182" s="2"/>
    </row>
    <row r="183" spans="1:9" ht="28" customHeight="1">
      <c r="A183" s="2"/>
      <c r="B183" s="10"/>
      <c r="C183" s="2"/>
      <c r="D183" s="2"/>
      <c r="E183" s="2"/>
      <c r="F183" s="2"/>
      <c r="G183" s="4"/>
      <c r="H183" s="2"/>
      <c r="I183" s="2"/>
    </row>
    <row r="184" spans="1:9" ht="28" customHeight="1">
      <c r="A184" s="2"/>
      <c r="B184" s="10"/>
      <c r="C184" s="2"/>
      <c r="D184" s="2"/>
      <c r="E184" s="2"/>
      <c r="F184" s="2"/>
      <c r="G184" s="4"/>
      <c r="H184" s="2"/>
      <c r="I184" s="2"/>
    </row>
    <row r="185" spans="1:9" ht="28" customHeight="1">
      <c r="A185" s="2"/>
      <c r="B185" s="10"/>
      <c r="C185" s="2"/>
      <c r="D185" s="2"/>
      <c r="E185" s="2"/>
      <c r="F185" s="2"/>
      <c r="G185" s="4"/>
      <c r="H185" s="2"/>
      <c r="I185" s="2"/>
    </row>
    <row r="186" spans="1:9" ht="28" customHeight="1">
      <c r="A186" s="2"/>
      <c r="B186" s="10"/>
      <c r="C186" s="2"/>
      <c r="D186" s="2"/>
      <c r="E186" s="2"/>
      <c r="F186" s="2"/>
      <c r="G186" s="4"/>
      <c r="H186" s="2"/>
      <c r="I186" s="2"/>
    </row>
    <row r="187" spans="1:9" ht="28" customHeight="1">
      <c r="A187" s="2"/>
      <c r="B187" s="10"/>
      <c r="C187" s="2"/>
      <c r="D187" s="2"/>
      <c r="E187" s="2"/>
      <c r="F187" s="2"/>
      <c r="G187" s="4"/>
      <c r="H187" s="2"/>
      <c r="I187" s="2"/>
    </row>
    <row r="188" spans="1:9" ht="28" customHeight="1">
      <c r="A188" s="2"/>
      <c r="B188" s="10"/>
      <c r="C188" s="2"/>
      <c r="D188" s="2"/>
      <c r="E188" s="2"/>
      <c r="F188" s="2"/>
      <c r="G188" s="4"/>
      <c r="H188" s="2"/>
      <c r="I188" s="2"/>
    </row>
    <row r="189" spans="1:9" ht="28" customHeight="1">
      <c r="A189" s="2"/>
      <c r="B189" s="10"/>
      <c r="C189" s="2"/>
      <c r="D189" s="2"/>
      <c r="E189" s="2"/>
      <c r="F189" s="2"/>
      <c r="G189" s="4"/>
      <c r="H189" s="2"/>
      <c r="I189" s="2"/>
    </row>
    <row r="190" spans="1:9" ht="28" customHeight="1">
      <c r="A190" s="2"/>
      <c r="B190" s="10"/>
      <c r="C190" s="2"/>
      <c r="D190" s="2"/>
      <c r="E190" s="2"/>
      <c r="F190" s="2"/>
      <c r="G190" s="4"/>
      <c r="H190" s="2"/>
      <c r="I190" s="2"/>
    </row>
    <row r="191" spans="1:9" ht="28" customHeight="1">
      <c r="A191" s="2"/>
      <c r="B191" s="10"/>
      <c r="C191" s="2"/>
      <c r="D191" s="2"/>
      <c r="E191" s="2"/>
      <c r="F191" s="2"/>
      <c r="G191" s="4"/>
      <c r="H191" s="2"/>
      <c r="I191" s="2"/>
    </row>
    <row r="192" spans="1:9" ht="28" customHeight="1">
      <c r="A192" s="2"/>
      <c r="B192" s="10"/>
      <c r="C192" s="2"/>
      <c r="D192" s="2"/>
      <c r="E192" s="2"/>
      <c r="F192" s="2"/>
      <c r="G192" s="4"/>
      <c r="H192" s="2"/>
      <c r="I192" s="2"/>
    </row>
    <row r="193" spans="1:9" ht="28" customHeight="1">
      <c r="A193" s="2"/>
      <c r="B193" s="10"/>
      <c r="C193" s="2"/>
      <c r="D193" s="2"/>
      <c r="E193" s="2"/>
      <c r="F193" s="2"/>
      <c r="G193" s="4"/>
      <c r="H193" s="2"/>
      <c r="I193" s="2"/>
    </row>
    <row r="194" spans="1:9" ht="28" customHeight="1">
      <c r="A194" s="2"/>
      <c r="B194" s="10"/>
      <c r="C194" s="2"/>
      <c r="D194" s="2"/>
      <c r="E194" s="2"/>
      <c r="F194" s="2"/>
      <c r="G194" s="4"/>
      <c r="H194" s="2"/>
      <c r="I194" s="2"/>
    </row>
    <row r="195" spans="1:9" ht="28" customHeight="1">
      <c r="A195" s="2"/>
      <c r="B195" s="10"/>
      <c r="C195" s="2"/>
      <c r="D195" s="2"/>
      <c r="E195" s="2"/>
      <c r="F195" s="2"/>
      <c r="G195" s="4"/>
      <c r="H195" s="2"/>
      <c r="I195" s="2"/>
    </row>
    <row r="196" spans="1:9" ht="28" customHeight="1">
      <c r="A196" s="2"/>
      <c r="B196" s="10"/>
      <c r="C196" s="2"/>
      <c r="D196" s="2"/>
      <c r="E196" s="2"/>
      <c r="F196" s="2"/>
      <c r="G196" s="4"/>
      <c r="H196" s="2"/>
      <c r="I196" s="2"/>
    </row>
    <row r="197" spans="1:9" ht="28" customHeight="1">
      <c r="A197" s="2"/>
      <c r="B197" s="10"/>
      <c r="C197" s="2"/>
      <c r="D197" s="2"/>
      <c r="E197" s="2"/>
      <c r="F197" s="2"/>
      <c r="G197" s="4"/>
      <c r="H197" s="2"/>
      <c r="I197" s="2"/>
    </row>
    <row r="198" spans="1:9" ht="28" customHeight="1">
      <c r="A198" s="2"/>
      <c r="B198" s="10"/>
      <c r="C198" s="2"/>
      <c r="D198" s="2"/>
      <c r="E198" s="2"/>
      <c r="F198" s="2"/>
      <c r="G198" s="4"/>
      <c r="H198" s="2"/>
      <c r="I198" s="2"/>
    </row>
    <row r="199" spans="1:9" ht="28" customHeight="1">
      <c r="A199" s="2"/>
      <c r="B199" s="10"/>
      <c r="C199" s="2"/>
      <c r="D199" s="2"/>
      <c r="E199" s="2"/>
      <c r="F199" s="2"/>
      <c r="G199" s="4"/>
      <c r="H199" s="2"/>
      <c r="I199" s="2"/>
    </row>
    <row r="200" spans="1:9" ht="28" customHeight="1">
      <c r="A200" s="2"/>
      <c r="B200" s="10"/>
      <c r="C200" s="2"/>
      <c r="D200" s="2"/>
      <c r="E200" s="2"/>
      <c r="F200" s="2"/>
      <c r="G200" s="4"/>
      <c r="H200" s="2"/>
      <c r="I200" s="2"/>
    </row>
    <row r="201" spans="1:9" ht="28" customHeight="1">
      <c r="A201" s="2"/>
      <c r="B201" s="10"/>
      <c r="C201" s="2"/>
      <c r="D201" s="2"/>
      <c r="E201" s="2"/>
      <c r="F201" s="2"/>
      <c r="G201" s="4"/>
      <c r="H201" s="2"/>
      <c r="I201" s="2"/>
    </row>
    <row r="202" spans="1:9" ht="28" customHeight="1">
      <c r="A202" s="2"/>
      <c r="B202" s="10"/>
      <c r="C202" s="2"/>
      <c r="D202" s="2"/>
      <c r="E202" s="2"/>
      <c r="F202" s="2"/>
      <c r="G202" s="4"/>
      <c r="H202" s="2"/>
      <c r="I202" s="2"/>
    </row>
    <row r="203" spans="1:9" ht="28" customHeight="1">
      <c r="A203" s="2"/>
      <c r="B203" s="10"/>
      <c r="C203" s="2"/>
      <c r="D203" s="2"/>
      <c r="E203" s="2"/>
      <c r="F203" s="2"/>
      <c r="G203" s="4"/>
      <c r="H203" s="2"/>
      <c r="I203" s="2"/>
    </row>
    <row r="204" spans="1:9" ht="28" customHeight="1">
      <c r="A204" s="2"/>
      <c r="B204" s="10"/>
      <c r="C204" s="2"/>
      <c r="D204" s="2"/>
      <c r="E204" s="2"/>
      <c r="F204" s="2"/>
      <c r="G204" s="4"/>
      <c r="H204" s="2"/>
      <c r="I204" s="2"/>
    </row>
    <row r="205" spans="1:9" ht="28" customHeight="1">
      <c r="A205" s="2"/>
      <c r="B205" s="10"/>
      <c r="C205" s="2"/>
      <c r="D205" s="2"/>
      <c r="E205" s="2"/>
      <c r="F205" s="2"/>
      <c r="G205" s="4"/>
      <c r="H205" s="2"/>
      <c r="I205" s="2"/>
    </row>
    <row r="206" spans="1:9" ht="28" customHeight="1">
      <c r="A206" s="2"/>
      <c r="B206" s="10"/>
      <c r="C206" s="2"/>
      <c r="D206" s="2"/>
      <c r="E206" s="2"/>
      <c r="F206" s="2"/>
      <c r="G206" s="4"/>
      <c r="H206" s="2"/>
      <c r="I206" s="2"/>
    </row>
  </sheetData>
  <mergeCells count="3">
    <mergeCell ref="A1:I2"/>
    <mergeCell ref="A3:I3"/>
    <mergeCell ref="A4:I4"/>
  </mergeCells>
  <conditionalFormatting sqref="E7:E206">
    <cfRule type="expression" dxfId="1" priority="1">
      <formula>E7="Closed"</formula>
    </cfRule>
    <cfRule type="expression" dxfId="0" priority="2">
      <formula>E7="Reopened"</formula>
    </cfRule>
  </conditionalFormatting>
  <dataValidations count="2">
    <dataValidation type="list" sqref="C7:C206" xr:uid="{00000000-0002-0000-0200-000000000000}">
      <formula1>INDIRECT("DanhMuc!$G$5:$G$23")</formula1>
    </dataValidation>
    <dataValidation type="list" sqref="D7:E206" xr:uid="{00000000-0002-0000-0200-000001000000}">
      <formula1>INDIRECT("DanhMuc!$E$5:$E$23")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pane ySplit="4" topLeftCell="A5" activePane="bottomLeft" state="frozen"/>
      <selection pane="bottomLeft" sqref="A1:G2"/>
    </sheetView>
  </sheetViews>
  <sheetFormatPr defaultRowHeight="14"/>
  <cols>
    <col min="1" max="1" width="25" customWidth="1"/>
    <col min="2" max="2" width="21" customWidth="1"/>
    <col min="3" max="3" width="16" customWidth="1"/>
    <col min="4" max="4" width="22" customWidth="1"/>
    <col min="5" max="5" width="20" customWidth="1"/>
    <col min="6" max="6" width="19" customWidth="1"/>
    <col min="7" max="7" width="23" customWidth="1"/>
  </cols>
  <sheetData>
    <row r="1" spans="1:7" ht="25" customHeight="1">
      <c r="A1" s="22" t="s">
        <v>98</v>
      </c>
      <c r="B1" s="22"/>
      <c r="C1" s="22"/>
      <c r="D1" s="22"/>
      <c r="E1" s="22"/>
      <c r="F1" s="22"/>
      <c r="G1" s="22"/>
    </row>
    <row r="2" spans="1:7" ht="25" customHeight="1">
      <c r="A2" s="22"/>
      <c r="B2" s="22"/>
      <c r="C2" s="22"/>
      <c r="D2" s="22"/>
      <c r="E2" s="22"/>
      <c r="F2" s="22"/>
      <c r="G2" s="22"/>
    </row>
    <row r="3" spans="1:7" ht="27" customHeight="1">
      <c r="A3" s="23" t="s">
        <v>99</v>
      </c>
      <c r="B3" s="23"/>
      <c r="C3" s="23"/>
      <c r="D3" s="23"/>
      <c r="E3" s="23"/>
      <c r="F3" s="23"/>
      <c r="G3" s="23"/>
    </row>
    <row r="4" spans="1:7" ht="29" customHeight="1">
      <c r="A4" s="1" t="s">
        <v>41</v>
      </c>
      <c r="B4" s="1" t="s">
        <v>100</v>
      </c>
      <c r="C4" s="1" t="s">
        <v>17</v>
      </c>
      <c r="D4" s="1" t="s">
        <v>18</v>
      </c>
      <c r="E4" s="1" t="s">
        <v>14</v>
      </c>
      <c r="F4" s="1" t="s">
        <v>101</v>
      </c>
      <c r="G4" s="1" t="s">
        <v>102</v>
      </c>
    </row>
    <row r="5" spans="1:7" ht="23" customHeight="1">
      <c r="A5" s="2" t="s">
        <v>43</v>
      </c>
      <c r="B5" s="2" t="s">
        <v>103</v>
      </c>
      <c r="C5" s="2" t="s">
        <v>20</v>
      </c>
      <c r="D5" s="2" t="s">
        <v>21</v>
      </c>
      <c r="E5" s="2" t="s">
        <v>19</v>
      </c>
      <c r="F5" s="2" t="s">
        <v>104</v>
      </c>
      <c r="G5" s="2" t="s">
        <v>105</v>
      </c>
    </row>
    <row r="6" spans="1:7" ht="23" customHeight="1">
      <c r="A6" s="2" t="s">
        <v>45</v>
      </c>
      <c r="B6" s="2" t="s">
        <v>61</v>
      </c>
      <c r="C6" s="2" t="s">
        <v>23</v>
      </c>
      <c r="D6" s="2" t="s">
        <v>24</v>
      </c>
      <c r="E6" s="2" t="s">
        <v>22</v>
      </c>
      <c r="F6" s="2" t="s">
        <v>106</v>
      </c>
      <c r="G6" s="2" t="s">
        <v>22</v>
      </c>
    </row>
    <row r="7" spans="1:7" ht="23" customHeight="1">
      <c r="A7" s="2" t="s">
        <v>46</v>
      </c>
      <c r="B7" s="2" t="s">
        <v>107</v>
      </c>
      <c r="C7" s="2" t="s">
        <v>26</v>
      </c>
      <c r="D7" s="2" t="s">
        <v>27</v>
      </c>
      <c r="E7" s="2" t="s">
        <v>25</v>
      </c>
      <c r="F7" s="2" t="s">
        <v>108</v>
      </c>
      <c r="G7" s="2" t="s">
        <v>109</v>
      </c>
    </row>
    <row r="8" spans="1:7" ht="23" customHeight="1">
      <c r="A8" s="2" t="s">
        <v>47</v>
      </c>
      <c r="B8" s="2" t="s">
        <v>62</v>
      </c>
      <c r="C8" s="2" t="s">
        <v>29</v>
      </c>
      <c r="D8" s="2" t="s">
        <v>30</v>
      </c>
      <c r="E8" s="2" t="s">
        <v>28</v>
      </c>
      <c r="F8" s="2" t="s">
        <v>110</v>
      </c>
      <c r="G8" s="2" t="s">
        <v>111</v>
      </c>
    </row>
    <row r="9" spans="1:7" ht="23" customHeight="1">
      <c r="A9" s="2" t="s">
        <v>49</v>
      </c>
      <c r="B9" s="2" t="s">
        <v>112</v>
      </c>
      <c r="C9" s="2" t="s">
        <v>32</v>
      </c>
      <c r="E9" s="2" t="s">
        <v>31</v>
      </c>
      <c r="F9" s="2" t="s">
        <v>113</v>
      </c>
      <c r="G9" s="2" t="s">
        <v>114</v>
      </c>
    </row>
    <row r="10" spans="1:7" ht="23" customHeight="1">
      <c r="A10" s="2" t="s">
        <v>50</v>
      </c>
      <c r="B10" s="2" t="s">
        <v>58</v>
      </c>
      <c r="E10" s="2" t="s">
        <v>33</v>
      </c>
      <c r="G10" s="2" t="s">
        <v>115</v>
      </c>
    </row>
    <row r="11" spans="1:7" ht="23" customHeight="1">
      <c r="A11" s="2" t="s">
        <v>51</v>
      </c>
      <c r="B11" s="2" t="s">
        <v>116</v>
      </c>
      <c r="E11" s="2" t="s">
        <v>34</v>
      </c>
      <c r="G11" s="2" t="s">
        <v>117</v>
      </c>
    </row>
    <row r="12" spans="1:7" ht="23" customHeight="1">
      <c r="A12" s="2" t="s">
        <v>53</v>
      </c>
      <c r="B12" s="2" t="s">
        <v>118</v>
      </c>
      <c r="E12" s="2" t="s">
        <v>35</v>
      </c>
      <c r="G12" s="2" t="s">
        <v>119</v>
      </c>
    </row>
    <row r="13" spans="1:7" ht="23" customHeight="1">
      <c r="A13" s="2" t="s">
        <v>54</v>
      </c>
      <c r="B13" s="2" t="s">
        <v>63</v>
      </c>
      <c r="E13" s="2" t="s">
        <v>36</v>
      </c>
      <c r="G13" s="2" t="s">
        <v>34</v>
      </c>
    </row>
    <row r="14" spans="1:7" ht="23" customHeight="1">
      <c r="A14" s="2" t="s">
        <v>55</v>
      </c>
    </row>
    <row r="15" spans="1:7" ht="23" customHeight="1">
      <c r="A15" s="2" t="s">
        <v>57</v>
      </c>
    </row>
    <row r="16" spans="1:7" ht="23" customHeight="1">
      <c r="A16" s="2" t="s">
        <v>58</v>
      </c>
    </row>
    <row r="17" spans="1:7" ht="23" customHeight="1">
      <c r="A17" s="2" t="s">
        <v>59</v>
      </c>
    </row>
    <row r="18" spans="1:7" ht="23" customHeight="1">
      <c r="A18" s="2" t="s">
        <v>61</v>
      </c>
    </row>
    <row r="19" spans="1:7" ht="23" customHeight="1">
      <c r="A19" s="2" t="s">
        <v>62</v>
      </c>
    </row>
    <row r="20" spans="1:7" ht="23" customHeight="1">
      <c r="A20" s="2" t="s">
        <v>63</v>
      </c>
    </row>
    <row r="24" spans="1:7" ht="30" customHeight="1">
      <c r="A24" s="48" t="s">
        <v>120</v>
      </c>
      <c r="B24" s="48"/>
      <c r="C24" s="48"/>
      <c r="D24" s="48"/>
      <c r="E24" s="48"/>
      <c r="F24" s="48"/>
      <c r="G24" s="48"/>
    </row>
    <row r="26" spans="1:7" ht="29" customHeight="1">
      <c r="A26" s="49" t="s">
        <v>121</v>
      </c>
      <c r="B26" s="49"/>
      <c r="C26" s="49"/>
      <c r="D26" s="49"/>
      <c r="E26" s="49"/>
      <c r="F26" s="49"/>
      <c r="G26" s="49"/>
    </row>
  </sheetData>
  <mergeCells count="4">
    <mergeCell ref="A1:G2"/>
    <mergeCell ref="A3:G3"/>
    <mergeCell ref="A24:G24"/>
    <mergeCell ref="A26:G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>
      <pane ySplit="3" topLeftCell="A43" activePane="bottomLeft" state="frozen"/>
      <selection pane="bottomLeft" sqref="A1:H2"/>
    </sheetView>
  </sheetViews>
  <sheetFormatPr defaultRowHeight="14"/>
  <cols>
    <col min="1" max="1" width="21" customWidth="1"/>
    <col min="2" max="2" width="23" customWidth="1"/>
    <col min="3" max="5" width="25" customWidth="1"/>
    <col min="6" max="7" width="24" customWidth="1"/>
    <col min="8" max="8" width="21" customWidth="1"/>
  </cols>
  <sheetData>
    <row r="1" spans="1:8" ht="25" customHeight="1">
      <c r="A1" s="22" t="s">
        <v>122</v>
      </c>
      <c r="B1" s="22"/>
      <c r="C1" s="22"/>
      <c r="D1" s="22"/>
      <c r="E1" s="22"/>
      <c r="F1" s="22"/>
      <c r="G1" s="22"/>
      <c r="H1" s="22"/>
    </row>
    <row r="2" spans="1:8" ht="25" customHeight="1">
      <c r="A2" s="22"/>
      <c r="B2" s="22"/>
      <c r="C2" s="22"/>
      <c r="D2" s="22"/>
      <c r="E2" s="22"/>
      <c r="F2" s="22"/>
      <c r="G2" s="22"/>
      <c r="H2" s="22"/>
    </row>
    <row r="3" spans="1:8" ht="27" customHeight="1">
      <c r="A3" s="23" t="s">
        <v>123</v>
      </c>
      <c r="B3" s="23"/>
      <c r="C3" s="23"/>
      <c r="D3" s="23"/>
      <c r="E3" s="23"/>
      <c r="F3" s="23"/>
      <c r="G3" s="23"/>
      <c r="H3" s="23"/>
    </row>
    <row r="4" spans="1:8" ht="14.5">
      <c r="A4" s="11"/>
      <c r="B4" s="11"/>
      <c r="C4" s="11"/>
      <c r="D4" s="11"/>
      <c r="E4" s="11"/>
      <c r="F4" s="11"/>
      <c r="G4" s="11"/>
      <c r="H4" s="11"/>
    </row>
    <row r="5" spans="1:8" ht="31" customHeight="1">
      <c r="A5" s="28" t="s">
        <v>124</v>
      </c>
      <c r="B5" s="28"/>
      <c r="C5" s="28"/>
      <c r="D5" s="28"/>
      <c r="E5" s="28"/>
      <c r="F5" s="28"/>
      <c r="G5" s="28"/>
      <c r="H5" s="28"/>
    </row>
    <row r="6" spans="1:8" ht="26" customHeight="1">
      <c r="A6" s="56" t="s">
        <v>125</v>
      </c>
      <c r="B6" s="56"/>
      <c r="C6" s="57" t="s">
        <v>126</v>
      </c>
      <c r="D6" s="57"/>
      <c r="E6" s="57"/>
      <c r="F6" s="57"/>
      <c r="G6" s="57"/>
      <c r="H6" s="57"/>
    </row>
    <row r="7" spans="1:8" ht="26" customHeight="1">
      <c r="A7" s="56"/>
      <c r="B7" s="56"/>
      <c r="C7" s="57"/>
      <c r="D7" s="57"/>
      <c r="E7" s="57"/>
      <c r="F7" s="57"/>
      <c r="G7" s="57"/>
      <c r="H7" s="57"/>
    </row>
    <row r="8" spans="1:8" ht="26" customHeight="1">
      <c r="A8" s="56" t="s">
        <v>127</v>
      </c>
      <c r="B8" s="56"/>
      <c r="C8" s="58" t="s">
        <v>128</v>
      </c>
      <c r="D8" s="58"/>
      <c r="E8" s="58"/>
      <c r="F8" s="58"/>
      <c r="G8" s="58"/>
      <c r="H8" s="58"/>
    </row>
    <row r="9" spans="1:8" ht="26" customHeight="1">
      <c r="A9" s="56"/>
      <c r="B9" s="56"/>
      <c r="C9" s="58"/>
      <c r="D9" s="58"/>
      <c r="E9" s="58"/>
      <c r="F9" s="58"/>
      <c r="G9" s="58"/>
      <c r="H9" s="58"/>
    </row>
    <row r="10" spans="1:8" ht="26" customHeight="1">
      <c r="A10" s="56" t="s">
        <v>129</v>
      </c>
      <c r="B10" s="56"/>
      <c r="C10" s="57" t="s">
        <v>130</v>
      </c>
      <c r="D10" s="57"/>
      <c r="E10" s="57"/>
      <c r="F10" s="57"/>
      <c r="G10" s="57"/>
      <c r="H10" s="57"/>
    </row>
    <row r="11" spans="1:8" ht="26" customHeight="1">
      <c r="A11" s="56"/>
      <c r="B11" s="56"/>
      <c r="C11" s="57"/>
      <c r="D11" s="57"/>
      <c r="E11" s="57"/>
      <c r="F11" s="57"/>
      <c r="G11" s="57"/>
      <c r="H11" s="57"/>
    </row>
    <row r="12" spans="1:8" ht="26" customHeight="1">
      <c r="A12" s="56" t="s">
        <v>131</v>
      </c>
      <c r="B12" s="56"/>
      <c r="C12" s="58" t="s">
        <v>132</v>
      </c>
      <c r="D12" s="58"/>
      <c r="E12" s="58"/>
      <c r="F12" s="58"/>
      <c r="G12" s="58"/>
      <c r="H12" s="58"/>
    </row>
    <row r="13" spans="1:8" ht="26" customHeight="1">
      <c r="A13" s="56"/>
      <c r="B13" s="56"/>
      <c r="C13" s="58"/>
      <c r="D13" s="58"/>
      <c r="E13" s="58"/>
      <c r="F13" s="58"/>
      <c r="G13" s="58"/>
      <c r="H13" s="58"/>
    </row>
    <row r="14" spans="1:8" ht="26" customHeight="1">
      <c r="A14" s="56" t="s">
        <v>133</v>
      </c>
      <c r="B14" s="56"/>
      <c r="C14" s="57" t="s">
        <v>134</v>
      </c>
      <c r="D14" s="57"/>
      <c r="E14" s="57"/>
      <c r="F14" s="57"/>
      <c r="G14" s="57"/>
      <c r="H14" s="57"/>
    </row>
    <row r="15" spans="1:8" ht="26" customHeight="1">
      <c r="A15" s="56"/>
      <c r="B15" s="56"/>
      <c r="C15" s="57"/>
      <c r="D15" s="57"/>
      <c r="E15" s="57"/>
      <c r="F15" s="57"/>
      <c r="G15" s="57"/>
      <c r="H15" s="57"/>
    </row>
    <row r="16" spans="1:8" ht="14.5">
      <c r="A16" s="11"/>
      <c r="B16" s="11"/>
      <c r="C16" s="11"/>
      <c r="D16" s="11"/>
      <c r="E16" s="11"/>
      <c r="F16" s="11"/>
      <c r="G16" s="11"/>
      <c r="H16" s="11"/>
    </row>
    <row r="17" spans="1:8" ht="31" customHeight="1">
      <c r="A17" s="28" t="s">
        <v>135</v>
      </c>
      <c r="B17" s="28"/>
      <c r="C17" s="28"/>
      <c r="D17" s="28"/>
      <c r="E17" s="28"/>
      <c r="F17" s="28"/>
      <c r="G17" s="28"/>
      <c r="H17" s="28"/>
    </row>
    <row r="18" spans="1:8" ht="26" customHeight="1">
      <c r="A18" s="12" t="s">
        <v>17</v>
      </c>
      <c r="B18" s="12" t="s">
        <v>136</v>
      </c>
      <c r="C18" s="12" t="s">
        <v>137</v>
      </c>
      <c r="D18" s="12"/>
      <c r="E18" s="12" t="s">
        <v>18</v>
      </c>
      <c r="F18" s="12" t="s">
        <v>136</v>
      </c>
      <c r="G18" s="12" t="s">
        <v>137</v>
      </c>
      <c r="H18" s="12"/>
    </row>
    <row r="19" spans="1:8" ht="35" customHeight="1">
      <c r="A19" s="17" t="s">
        <v>20</v>
      </c>
      <c r="B19" s="16" t="s">
        <v>138</v>
      </c>
      <c r="C19" s="16" t="s">
        <v>139</v>
      </c>
      <c r="D19" s="16"/>
      <c r="E19" s="17" t="s">
        <v>21</v>
      </c>
      <c r="F19" s="16" t="s">
        <v>140</v>
      </c>
      <c r="G19" s="16" t="s">
        <v>141</v>
      </c>
      <c r="H19" s="16"/>
    </row>
    <row r="20" spans="1:8" ht="35" customHeight="1">
      <c r="A20" s="18" t="s">
        <v>23</v>
      </c>
      <c r="B20" s="16" t="s">
        <v>142</v>
      </c>
      <c r="C20" s="16" t="s">
        <v>143</v>
      </c>
      <c r="D20" s="16"/>
      <c r="E20" s="19" t="s">
        <v>24</v>
      </c>
      <c r="F20" s="16" t="s">
        <v>144</v>
      </c>
      <c r="G20" s="16" t="s">
        <v>145</v>
      </c>
      <c r="H20" s="16"/>
    </row>
    <row r="21" spans="1:8" ht="35" customHeight="1">
      <c r="A21" s="19" t="s">
        <v>26</v>
      </c>
      <c r="B21" s="16" t="s">
        <v>146</v>
      </c>
      <c r="C21" s="16" t="s">
        <v>147</v>
      </c>
      <c r="D21" s="16"/>
      <c r="E21" s="16" t="s">
        <v>27</v>
      </c>
      <c r="F21" s="16" t="s">
        <v>148</v>
      </c>
      <c r="G21" s="16" t="s">
        <v>149</v>
      </c>
      <c r="H21" s="16"/>
    </row>
    <row r="22" spans="1:8" ht="35" customHeight="1">
      <c r="A22" s="16" t="s">
        <v>29</v>
      </c>
      <c r="B22" s="16" t="s">
        <v>150</v>
      </c>
      <c r="C22" s="16" t="s">
        <v>151</v>
      </c>
      <c r="D22" s="16"/>
      <c r="E22" s="16" t="s">
        <v>30</v>
      </c>
      <c r="F22" s="16" t="s">
        <v>152</v>
      </c>
      <c r="G22" s="16" t="s">
        <v>153</v>
      </c>
      <c r="H22" s="16"/>
    </row>
    <row r="23" spans="1:8" ht="35" customHeight="1">
      <c r="A23" s="16" t="s">
        <v>32</v>
      </c>
      <c r="B23" s="16" t="s">
        <v>154</v>
      </c>
      <c r="C23" s="16" t="s">
        <v>155</v>
      </c>
      <c r="D23" s="16"/>
      <c r="E23" s="16"/>
      <c r="F23" s="16"/>
      <c r="G23" s="16"/>
      <c r="H23" s="16"/>
    </row>
    <row r="24" spans="1:8" ht="14.5">
      <c r="A24" s="11"/>
      <c r="B24" s="11"/>
      <c r="C24" s="11"/>
      <c r="D24" s="11"/>
      <c r="E24" s="11"/>
      <c r="F24" s="11"/>
      <c r="G24" s="11"/>
      <c r="H24" s="11"/>
    </row>
    <row r="25" spans="1:8" ht="31" customHeight="1">
      <c r="A25" s="28" t="s">
        <v>156</v>
      </c>
      <c r="B25" s="28"/>
      <c r="C25" s="28"/>
      <c r="D25" s="28"/>
      <c r="E25" s="28"/>
      <c r="F25" s="28"/>
      <c r="G25" s="28"/>
      <c r="H25" s="28"/>
    </row>
    <row r="26" spans="1:8" ht="30" customHeight="1">
      <c r="A26" s="20" t="s">
        <v>19</v>
      </c>
      <c r="B26" s="55" t="s">
        <v>157</v>
      </c>
      <c r="C26" s="55"/>
      <c r="D26" s="55"/>
      <c r="E26" s="20" t="s">
        <v>22</v>
      </c>
      <c r="F26" s="55" t="s">
        <v>158</v>
      </c>
      <c r="G26" s="55"/>
      <c r="H26" s="55"/>
    </row>
    <row r="27" spans="1:8" ht="30" customHeight="1">
      <c r="A27" s="20" t="s">
        <v>25</v>
      </c>
      <c r="B27" s="55" t="s">
        <v>159</v>
      </c>
      <c r="C27" s="55"/>
      <c r="D27" s="55"/>
      <c r="E27" s="20" t="s">
        <v>28</v>
      </c>
      <c r="F27" s="55" t="s">
        <v>160</v>
      </c>
      <c r="G27" s="55"/>
      <c r="H27" s="55"/>
    </row>
    <row r="28" spans="1:8" ht="30" customHeight="1">
      <c r="A28" s="20" t="s">
        <v>31</v>
      </c>
      <c r="B28" s="55" t="s">
        <v>161</v>
      </c>
      <c r="C28" s="55"/>
      <c r="D28" s="55"/>
      <c r="E28" s="20" t="s">
        <v>33</v>
      </c>
      <c r="F28" s="55" t="s">
        <v>162</v>
      </c>
      <c r="G28" s="55"/>
      <c r="H28" s="55"/>
    </row>
    <row r="29" spans="1:8" ht="30" customHeight="1">
      <c r="A29" s="20" t="s">
        <v>34</v>
      </c>
      <c r="B29" s="55" t="s">
        <v>163</v>
      </c>
      <c r="C29" s="55"/>
      <c r="D29" s="55"/>
      <c r="E29" s="20" t="s">
        <v>36</v>
      </c>
      <c r="F29" s="55" t="s">
        <v>164</v>
      </c>
      <c r="G29" s="55"/>
      <c r="H29" s="55"/>
    </row>
    <row r="30" spans="1:8" ht="30" customHeight="1">
      <c r="A30" s="20" t="s">
        <v>35</v>
      </c>
      <c r="B30" s="55" t="s">
        <v>165</v>
      </c>
      <c r="C30" s="55"/>
      <c r="D30" s="55"/>
      <c r="E30" s="20"/>
      <c r="F30" s="55"/>
      <c r="G30" s="55"/>
      <c r="H30" s="55"/>
    </row>
    <row r="31" spans="1:8" ht="14.5">
      <c r="A31" s="11"/>
      <c r="B31" s="11"/>
      <c r="C31" s="11"/>
      <c r="D31" s="11"/>
      <c r="E31" s="11"/>
      <c r="F31" s="11"/>
      <c r="G31" s="11"/>
      <c r="H31" s="11"/>
    </row>
    <row r="32" spans="1:8" ht="14.5">
      <c r="A32" s="11"/>
      <c r="B32" s="11"/>
      <c r="C32" s="11"/>
      <c r="D32" s="11"/>
      <c r="E32" s="11"/>
      <c r="F32" s="11"/>
      <c r="G32" s="11"/>
      <c r="H32" s="11"/>
    </row>
    <row r="33" spans="1:8" ht="31" customHeight="1">
      <c r="A33" s="28" t="s">
        <v>166</v>
      </c>
      <c r="B33" s="28"/>
      <c r="C33" s="28"/>
      <c r="D33" s="28"/>
      <c r="E33" s="28"/>
      <c r="F33" s="28"/>
      <c r="G33" s="28"/>
      <c r="H33" s="28"/>
    </row>
    <row r="34" spans="1:8" ht="31" customHeight="1">
      <c r="A34" s="52" t="s">
        <v>68</v>
      </c>
      <c r="B34" s="52"/>
      <c r="C34" s="53" t="s">
        <v>167</v>
      </c>
      <c r="D34" s="53"/>
      <c r="E34" s="53"/>
      <c r="F34" s="53"/>
      <c r="G34" s="53"/>
      <c r="H34" s="53"/>
    </row>
    <row r="35" spans="1:8" ht="31" customHeight="1">
      <c r="A35" s="52" t="s">
        <v>168</v>
      </c>
      <c r="B35" s="52"/>
      <c r="C35" s="54" t="s">
        <v>169</v>
      </c>
      <c r="D35" s="54"/>
      <c r="E35" s="54"/>
      <c r="F35" s="54"/>
      <c r="G35" s="54"/>
      <c r="H35" s="54"/>
    </row>
    <row r="36" spans="1:8" ht="31" customHeight="1">
      <c r="A36" s="52" t="s">
        <v>170</v>
      </c>
      <c r="B36" s="52"/>
      <c r="C36" s="53" t="s">
        <v>171</v>
      </c>
      <c r="D36" s="53"/>
      <c r="E36" s="53"/>
      <c r="F36" s="53"/>
      <c r="G36" s="53"/>
      <c r="H36" s="53"/>
    </row>
    <row r="37" spans="1:8" ht="31" customHeight="1">
      <c r="A37" s="52" t="s">
        <v>172</v>
      </c>
      <c r="B37" s="52"/>
      <c r="C37" s="54" t="s">
        <v>173</v>
      </c>
      <c r="D37" s="54"/>
      <c r="E37" s="54"/>
      <c r="F37" s="54"/>
      <c r="G37" s="54"/>
      <c r="H37" s="54"/>
    </row>
    <row r="38" spans="1:8" ht="31" customHeight="1">
      <c r="A38" s="52" t="s">
        <v>174</v>
      </c>
      <c r="B38" s="52"/>
      <c r="C38" s="53" t="s">
        <v>175</v>
      </c>
      <c r="D38" s="53"/>
      <c r="E38" s="53"/>
      <c r="F38" s="53"/>
      <c r="G38" s="53"/>
      <c r="H38" s="53"/>
    </row>
    <row r="39" spans="1:8" ht="31" customHeight="1">
      <c r="A39" s="52" t="s">
        <v>176</v>
      </c>
      <c r="B39" s="52"/>
      <c r="C39" s="54" t="s">
        <v>177</v>
      </c>
      <c r="D39" s="54"/>
      <c r="E39" s="54"/>
      <c r="F39" s="54"/>
      <c r="G39" s="54"/>
      <c r="H39" s="54"/>
    </row>
    <row r="40" spans="1:8" ht="14.5">
      <c r="A40" s="11"/>
      <c r="B40" s="11"/>
      <c r="C40" s="11"/>
      <c r="D40" s="11"/>
      <c r="E40" s="11"/>
      <c r="F40" s="11"/>
      <c r="G40" s="11"/>
      <c r="H40" s="11"/>
    </row>
    <row r="41" spans="1:8" ht="31" customHeight="1">
      <c r="A41" s="28" t="s">
        <v>178</v>
      </c>
      <c r="B41" s="28"/>
      <c r="C41" s="28"/>
      <c r="D41" s="28"/>
      <c r="E41" s="28"/>
      <c r="F41" s="28"/>
      <c r="G41" s="28"/>
      <c r="H41" s="28"/>
    </row>
    <row r="42" spans="1:8" ht="29" customHeight="1">
      <c r="A42" s="50" t="s">
        <v>179</v>
      </c>
      <c r="B42" s="50"/>
      <c r="C42" s="50"/>
      <c r="D42" s="50"/>
      <c r="E42" s="50"/>
      <c r="F42" s="50"/>
      <c r="G42" s="50"/>
      <c r="H42" s="50"/>
    </row>
    <row r="43" spans="1:8" ht="29" customHeight="1">
      <c r="A43" s="51" t="s">
        <v>180</v>
      </c>
      <c r="B43" s="51"/>
      <c r="C43" s="51"/>
      <c r="D43" s="51"/>
      <c r="E43" s="51"/>
      <c r="F43" s="51"/>
      <c r="G43" s="51"/>
      <c r="H43" s="51"/>
    </row>
    <row r="44" spans="1:8" ht="29" customHeight="1">
      <c r="A44" s="50" t="s">
        <v>181</v>
      </c>
      <c r="B44" s="50"/>
      <c r="C44" s="50"/>
      <c r="D44" s="50"/>
      <c r="E44" s="50"/>
      <c r="F44" s="50"/>
      <c r="G44" s="50"/>
      <c r="H44" s="50"/>
    </row>
    <row r="45" spans="1:8" ht="29" customHeight="1">
      <c r="A45" s="51" t="s">
        <v>182</v>
      </c>
      <c r="B45" s="51"/>
      <c r="C45" s="51"/>
      <c r="D45" s="51"/>
      <c r="E45" s="51"/>
      <c r="F45" s="51"/>
      <c r="G45" s="51"/>
      <c r="H45" s="51"/>
    </row>
    <row r="46" spans="1:8" ht="29" customHeight="1">
      <c r="A46" s="50" t="s">
        <v>183</v>
      </c>
      <c r="B46" s="50"/>
      <c r="C46" s="50"/>
      <c r="D46" s="50"/>
      <c r="E46" s="50"/>
      <c r="F46" s="50"/>
      <c r="G46" s="50"/>
      <c r="H46" s="50"/>
    </row>
    <row r="47" spans="1:8" ht="14.5">
      <c r="A47" s="11"/>
      <c r="B47" s="11"/>
      <c r="C47" s="11"/>
      <c r="D47" s="11"/>
      <c r="E47" s="11"/>
      <c r="F47" s="11"/>
      <c r="G47" s="11"/>
      <c r="H47" s="11"/>
    </row>
  </sheetData>
  <mergeCells count="44">
    <mergeCell ref="A1:H2"/>
    <mergeCell ref="A3:H3"/>
    <mergeCell ref="A5:H5"/>
    <mergeCell ref="A6:B7"/>
    <mergeCell ref="C6:H7"/>
    <mergeCell ref="A8:B9"/>
    <mergeCell ref="C8:H9"/>
    <mergeCell ref="A10:B11"/>
    <mergeCell ref="C10:H11"/>
    <mergeCell ref="A12:B13"/>
    <mergeCell ref="C12:H13"/>
    <mergeCell ref="A14:B15"/>
    <mergeCell ref="C14:H15"/>
    <mergeCell ref="A17:H17"/>
    <mergeCell ref="A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A33:H33"/>
    <mergeCell ref="A34:B34"/>
    <mergeCell ref="C34:H34"/>
    <mergeCell ref="A35:B35"/>
    <mergeCell ref="C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1:H41"/>
    <mergeCell ref="A42:H42"/>
    <mergeCell ref="A43:H43"/>
    <mergeCell ref="A44:H44"/>
    <mergeCell ref="A45:H45"/>
    <mergeCell ref="A46:H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Bug Log</vt:lpstr>
      <vt:lpstr>Lich su</vt:lpstr>
      <vt:lpstr>DanhMuc</vt:lpstr>
      <vt:lpstr>Huong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đặng nhật linh</cp:lastModifiedBy>
  <dcterms:modified xsi:type="dcterms:W3CDTF">2026-10-25T13:55:23Z</dcterms:modified>
</cp:coreProperties>
</file>